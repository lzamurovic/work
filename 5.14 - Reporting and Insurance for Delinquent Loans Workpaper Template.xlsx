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.sharepoint.com/sites/Issuer360Portal/Shared Documents/General/Task 2 - Implementation/Process Refinement/C&amp;M Procedural Manuals/Workpaper Creation/C&amp;M Workpapers/Forward Issuer/"/>
    </mc:Choice>
  </mc:AlternateContent>
  <xr:revisionPtr revIDLastSave="240" documentId="11_AB148A9740016CF3E45DAADF8ACD2E4F995102B6" xr6:coauthVersionLast="47" xr6:coauthVersionMax="47" xr10:uidLastSave="{01113C14-C430-4FBA-A09C-40CED2B0B6BA}"/>
  <bookViews>
    <workbookView xWindow="22932" yWindow="-108" windowWidth="23256" windowHeight="12456" xr2:uid="{00000000-000D-0000-FFFF-FFFF00000000}"/>
  </bookViews>
  <sheets>
    <sheet name="Sheet1" sheetId="1" r:id="rId1"/>
  </sheet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3" i="1"/>
  <c r="B9" i="1"/>
  <c r="B7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B62" i="1"/>
  <c r="B60" i="1"/>
  <c r="B5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B54" i="1"/>
  <c r="B4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B43" i="1"/>
  <c r="B41" i="1"/>
  <c r="B38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B29" i="1"/>
  <c r="B26" i="1"/>
  <c r="B20" i="1"/>
  <c r="B11" i="1"/>
  <c r="B14" i="1"/>
  <c r="B17" i="1"/>
</calcChain>
</file>

<file path=xl/sharedStrings.xml><?xml version="1.0" encoding="utf-8"?>
<sst xmlns="http://schemas.openxmlformats.org/spreadsheetml/2006/main" count="252" uniqueCount="102">
  <si>
    <t>Review ID from C&amp;M Module in GMC:</t>
  </si>
  <si>
    <t>Test Steps</t>
  </si>
  <si>
    <t>Add or Remove columns as warranted by Scope Type</t>
  </si>
  <si>
    <t>I.	Verify that internal servicing records agree to the number of delinquent loans reported on Forms HUD-11710A and the RFS Exception Feedback Summary Screen.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</si>
  <si>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</si>
  <si>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</si>
  <si>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</si>
  <si>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</si>
  <si>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</si>
  <si>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</si>
  <si>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</si>
  <si>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</si>
  <si>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</si>
  <si>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</si>
  <si>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</si>
  <si>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</si>
  <si>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</si>
  <si>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</si>
  <si>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</si>
  <si>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</si>
  <si>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</si>
  <si>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</si>
  <si>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</si>
  <si>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</si>
  <si>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</si>
  <si>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</si>
  <si>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</si>
  <si>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</si>
  <si>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</si>
  <si>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</si>
  <si>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</si>
  <si>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</si>
  <si>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</si>
  <si>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</si>
  <si>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</si>
  <si>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</si>
  <si>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</si>
  <si>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</si>
  <si>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</si>
  <si>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</si>
  <si>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</si>
  <si>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</si>
  <si>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</si>
  <si>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</si>
  <si>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</si>
  <si>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</si>
  <si>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</si>
  <si>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</si>
  <si>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</si>
  <si>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</si>
  <si>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</si>
  <si>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</si>
  <si>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</si>
  <si>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</si>
  <si>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For each sampled pool in the test period:</t>
  </si>
  <si>
    <t>1.	Compare the Issuer-provided Form HUD-11710A for each pool to each "11710A Facsimile" RFS report.</t>
  </si>
  <si>
    <r>
      <rPr>
        <sz val="11"/>
        <color rgb="FF000000"/>
        <rFont val="Calibri"/>
        <scheme val="minor"/>
      </rPr>
      <t xml:space="preserve">2.	</t>
    </r>
    <r>
      <rPr>
        <b/>
        <sz val="11"/>
        <color rgb="FF000000"/>
        <rFont val="Calibri"/>
        <scheme val="minor"/>
      </rPr>
      <t xml:space="preserve">IF </t>
    </r>
    <r>
      <rPr>
        <sz val="11"/>
        <color rgb="FF000000"/>
        <rFont val="Calibri"/>
        <scheme val="minor"/>
      </rPr>
      <t xml:space="preserve">the installment principal collections, additional principal collected, and/or "other" adjustments per Form HUD-11710A does not agree to the RFS record, record </t>
    </r>
    <r>
      <rPr>
        <b/>
        <sz val="11"/>
        <color rgb="FF000000"/>
        <rFont val="Calibri"/>
        <scheme val="minor"/>
      </rPr>
      <t>Finding 100004.</t>
    </r>
    <r>
      <rPr>
        <sz val="11"/>
        <color rgb="FF000000"/>
        <rFont val="Calibri"/>
        <scheme val="minor"/>
      </rPr>
      <t xml:space="preserve"> Indicate the pool(s) to which the exception applies.</t>
    </r>
  </si>
  <si>
    <t>3.	Compare the Issuer-provided Form HUD-11710A for each pool to each "11710A Facsimile" RFS report.</t>
  </si>
  <si>
    <r>
      <rPr>
        <sz val="11"/>
        <color rgb="FF000000"/>
        <rFont val="Calibri"/>
        <scheme val="minor"/>
      </rPr>
      <t xml:space="preserve">4.	</t>
    </r>
    <r>
      <rPr>
        <b/>
        <sz val="11"/>
        <color rgb="FF000000"/>
        <rFont val="Calibri"/>
        <scheme val="minor"/>
      </rPr>
      <t xml:space="preserve">IF </t>
    </r>
    <r>
      <rPr>
        <sz val="11"/>
        <color rgb="FF000000"/>
        <rFont val="Calibri"/>
        <scheme val="minor"/>
      </rPr>
      <t xml:space="preserve">the amount of prepaid interest, prepaid principal, delinquent interest, and/or delinquent principal per Form HUD-11710A does not agree to the RFS record, </t>
    </r>
    <r>
      <rPr>
        <b/>
        <sz val="11"/>
        <color rgb="FF000000"/>
        <rFont val="Calibri"/>
        <scheme val="minor"/>
      </rPr>
      <t>record Finding 100059.</t>
    </r>
    <r>
      <rPr>
        <sz val="11"/>
        <color rgb="FF000000"/>
        <rFont val="Calibri"/>
        <scheme val="minor"/>
      </rPr>
      <t xml:space="preserve"> Indicate the pool(s) to which the exception applies.</t>
    </r>
  </si>
  <si>
    <t>5. Does the information reported on Form HUD-11710 agree to internal records?</t>
  </si>
  <si>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information reported on Form HUD-11710A does not agree to internal records, </t>
    </r>
    <r>
      <rPr>
        <b/>
        <sz val="11"/>
        <color rgb="FF000000"/>
        <rFont val="Calibri"/>
        <scheme val="minor"/>
      </rPr>
      <t>record Finding 400582.</t>
    </r>
    <r>
      <rPr>
        <sz val="11"/>
        <color rgb="FF000000"/>
        <rFont val="Calibri"/>
        <scheme val="minor"/>
      </rPr>
      <t xml:space="preserve"> Indicate the pool(s) to which the exception applies.</t>
    </r>
  </si>
  <si>
    <t>6.	Obtain an internal total portfolio report as of the test month and compare the total # of delinquencies to the RFS Exception Feedback Summary Screen for Ginnie Mae I and Ginnie Mae II.</t>
  </si>
  <si>
    <r>
      <rPr>
        <sz val="11"/>
        <color rgb="FF000000"/>
        <rFont val="Calibri"/>
        <scheme val="minor"/>
      </rPr>
      <t xml:space="preserve">7.	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number of delinquent loans reported on the RFS Exception Feedback Summary Screen does not agree with the internal servicing records by 5% or more, </t>
    </r>
    <r>
      <rPr>
        <b/>
        <sz val="11"/>
        <color rgb="FF000000"/>
        <rFont val="Calibri"/>
        <scheme val="minor"/>
      </rPr>
      <t>record Finding 400310.</t>
    </r>
    <r>
      <rPr>
        <sz val="11"/>
        <color rgb="FF000000"/>
        <rFont val="Calibri"/>
        <scheme val="minor"/>
      </rPr>
      <t xml:space="preserve"> Indicate the pool(s) to which the exception applies. </t>
    </r>
  </si>
  <si>
    <t>8. Is the Issuer able to  produce delinquency reports as of the cutoff date as reported on the RFS Exception Feedback Summary Screen?</t>
  </si>
  <si>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Issuer is unable to produce delinquency reports as of the cutoff date as reported on the RFS Exception Feedback Summary Screen, </t>
    </r>
    <r>
      <rPr>
        <b/>
        <sz val="11"/>
        <color rgb="FF000000"/>
        <rFont val="Calibri"/>
        <scheme val="minor"/>
      </rPr>
      <t>record Finding 600025</t>
    </r>
    <r>
      <rPr>
        <sz val="11"/>
        <color rgb="FF000000"/>
        <rFont val="Calibri"/>
        <scheme val="minor"/>
      </rPr>
      <t>. Select the appropriate reason from the Finding menu in Exhibit 28 and indicate the pool(s) to which the exception applies.</t>
    </r>
  </si>
  <si>
    <t>9.	Compare the Issuer-provided Form HUD-11710A for each pool to the Issuer’s internal records for each preselected pool.</t>
  </si>
  <si>
    <r>
      <rPr>
        <sz val="11"/>
        <color rgb="FF000000"/>
        <rFont val="Calibri"/>
        <scheme val="minor"/>
      </rPr>
      <t xml:space="preserve">10.	</t>
    </r>
    <r>
      <rPr>
        <b/>
        <sz val="11"/>
        <color rgb="FF000000"/>
        <rFont val="Calibri"/>
        <scheme val="minor"/>
      </rPr>
      <t xml:space="preserve">IF </t>
    </r>
    <r>
      <rPr>
        <sz val="11"/>
        <color rgb="FF000000"/>
        <rFont val="Calibri"/>
        <scheme val="minor"/>
      </rPr>
      <t xml:space="preserve">the Installment principal collections, additional principal collected, and/or "other" adjustments per Form HUD-11710A do not agree to the Issuer's internal servicing records, </t>
    </r>
    <r>
      <rPr>
        <b/>
        <sz val="11"/>
        <color rgb="FF000000"/>
        <rFont val="Calibri"/>
        <scheme val="minor"/>
      </rPr>
      <t>record Finding 100000</t>
    </r>
    <r>
      <rPr>
        <sz val="11"/>
        <color rgb="FF000000"/>
        <rFont val="Calibri"/>
        <scheme val="minor"/>
      </rPr>
      <t>. Indicate the pool(s) to which the exception applies.</t>
    </r>
  </si>
  <si>
    <t>11.	Is there insufficient information available to determine whether installment principal collections, additional principal collected, and/or "other" adjustments per Form HUD-11710A agrees to the Issuer's internal servicing records?</t>
  </si>
  <si>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there is insufficient information available to determine whether installment principal collections, additional principal collected, and/or "other" adjustments per Form HUD-11710A agrees to the Issuer's internal servicing records,</t>
    </r>
    <r>
      <rPr>
        <b/>
        <sz val="11"/>
        <color rgb="FF000000"/>
        <rFont val="Calibri"/>
        <scheme val="minor"/>
      </rPr>
      <t xml:space="preserve"> record Finding 600026 </t>
    </r>
    <r>
      <rPr>
        <sz val="11"/>
        <color rgb="FF000000"/>
        <rFont val="Calibri"/>
        <scheme val="minor"/>
      </rPr>
      <t>and indicate the account(s) to which the exception applies.</t>
    </r>
  </si>
  <si>
    <t>12.	Does the amount of prepaid interest, prepaid principal, delinquent interest, and/or delinquent principal per Form HUD-11710A agree to the Issuer's internal servicing system?</t>
  </si>
  <si>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amount of prepaid interest, prepaid principal, delinquent interest, and/or delinquent principal per Form HUD-11710A do not agree to the Issuer's internal servicing system, </t>
    </r>
    <r>
      <rPr>
        <b/>
        <sz val="11"/>
        <color rgb="FF000000"/>
        <rFont val="Calibri"/>
        <scheme val="minor"/>
      </rPr>
      <t>record Finding 100057</t>
    </r>
    <r>
      <rPr>
        <sz val="11"/>
        <color rgb="FF000000"/>
        <rFont val="Calibri"/>
        <scheme val="minor"/>
      </rPr>
      <t>. Indicate the pool(s) to which the exception applies.</t>
    </r>
  </si>
  <si>
    <t>13. Is there sufficient information available to determine whether the amount of prepaid interest, prepaid principal, delinquent interest, and/or delinquent principal per Form HUD-11710A agrees to Issuer's internal servicing system?</t>
  </si>
  <si>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there is insufficient information available to determine whether the amount of prepaid interest, prepaid principal, delinquent interest, and/or delinquent principal per Form HUD-11710A agrees to Issuer's internal servicing system, </t>
    </r>
    <r>
      <rPr>
        <b/>
        <sz val="11"/>
        <color rgb="FF000000"/>
        <rFont val="Calibri"/>
        <scheme val="minor"/>
      </rPr>
      <t>record Finding 600026</t>
    </r>
    <r>
      <rPr>
        <sz val="11"/>
        <color rgb="FF000000"/>
        <rFont val="Calibri"/>
        <scheme val="minor"/>
      </rPr>
      <t>.  Select the appropriate reason from the Finding menu in Exhibit 28 and indicate the pool(s) to which the exception applies.</t>
    </r>
  </si>
  <si>
    <t>14.	Obtain an internal delinquency report for each preselected test pool as of the test month and compare it to Form HUD-11710A.</t>
  </si>
  <si>
    <r>
      <rPr>
        <sz val="11"/>
        <color rgb="FF000000"/>
        <rFont val="Calibri"/>
        <scheme val="minor"/>
      </rPr>
      <t xml:space="preserve">15.	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number of delinquent loans reported on Form HUD-11710A does not agree with the internal delinquency report, </t>
    </r>
    <r>
      <rPr>
        <b/>
        <sz val="11"/>
        <color rgb="FF000000"/>
        <rFont val="Calibri"/>
        <scheme val="minor"/>
      </rPr>
      <t>record Finding 400585.</t>
    </r>
    <r>
      <rPr>
        <sz val="11"/>
        <color rgb="FF000000"/>
        <rFont val="Calibri"/>
        <scheme val="minor"/>
      </rPr>
      <t xml:space="preserve"> Indicate the pool(s) to which the exception applies.</t>
    </r>
  </si>
  <si>
    <t>II.	Evidence of Agency Insurance for Delinquent Loans</t>
  </si>
  <si>
    <t>For each sampled loan in the test period:</t>
  </si>
  <si>
    <t xml:space="preserve">1.	Request evidence of Agency insurance/guaranty for each preselected loan.  </t>
  </si>
  <si>
    <r>
      <rPr>
        <sz val="11"/>
        <color rgb="FF000000"/>
        <rFont val="Calibri"/>
        <scheme val="minor"/>
      </rPr>
      <t xml:space="preserve">2.	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Issuer could not provide evidence of Agency insurance/guaranty, </t>
    </r>
    <r>
      <rPr>
        <b/>
        <sz val="11"/>
        <color rgb="FF000000"/>
        <rFont val="Calibri"/>
        <scheme val="minor"/>
      </rPr>
      <t xml:space="preserve">record Finding 600025. </t>
    </r>
    <r>
      <rPr>
        <sz val="11"/>
        <color rgb="FF000000"/>
        <rFont val="Calibri"/>
        <scheme val="minor"/>
      </rPr>
      <t>Select the appropriate reason from the Finding menu in Exhibit 28 and indicate the loan(s) to which the exception applies.</t>
    </r>
  </si>
  <si>
    <t xml:space="preserve">3.	Verify that insurance/guaranty is active. </t>
  </si>
  <si>
    <r>
      <rPr>
        <sz val="11"/>
        <color rgb="FF000000"/>
        <rFont val="Calibri"/>
        <scheme val="minor"/>
      </rPr>
      <t xml:space="preserve">4.	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insurance/guaranty is not active and the Issuer has not been actively pursuing the insurance/guaranty; and more than 12 months have elapsed from the Pool Issue Date; and approval from Ginnie Mae has not been requested to repurchase the loan or the Issuer has not repurchased the loan from the pool following Ginnie Mae approval to repurchase; or the Issuer cannot provide evidence that they are working with Ginnie Mae/Agency to correct a matching issue, </t>
    </r>
    <r>
      <rPr>
        <b/>
        <sz val="11"/>
        <color rgb="FF000000"/>
        <rFont val="Calibri"/>
        <scheme val="minor"/>
      </rPr>
      <t xml:space="preserve">record Finding 410517.  </t>
    </r>
    <r>
      <rPr>
        <sz val="11"/>
        <color rgb="FF000000"/>
        <rFont val="Calibri"/>
        <scheme val="minor"/>
      </rPr>
      <t xml:space="preserve"> Indicate the loan(s) to which the exception applies.</t>
    </r>
  </si>
  <si>
    <t>5.	Compare information on the MIC/LNG/LGC to the Issuer’s internal records.</t>
  </si>
  <si>
    <r>
      <rPr>
        <sz val="11"/>
        <color rgb="FF000000"/>
        <rFont val="Calibri"/>
        <scheme val="minor"/>
      </rPr>
      <t xml:space="preserve">6.	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borrower’s Name, OPB, Interest Rate, and Address, on the MIC/LNG/LGC do not agree to internal records,</t>
    </r>
    <r>
      <rPr>
        <b/>
        <sz val="11"/>
        <color rgb="FF000000"/>
        <rFont val="Calibri"/>
        <scheme val="minor"/>
      </rPr>
      <t xml:space="preserve"> record Finding 400470</t>
    </r>
    <r>
      <rPr>
        <sz val="11"/>
        <color rgb="FF000000"/>
        <rFont val="Calibri"/>
        <scheme val="minor"/>
      </rPr>
      <t>. Indicate the loan(s) to which the exception applies.</t>
    </r>
  </si>
  <si>
    <t> </t>
  </si>
  <si>
    <t>III.	Determine delinquency status for newly pooled loans.</t>
  </si>
  <si>
    <t xml:space="preserve">For each loan in the test sample: </t>
  </si>
  <si>
    <t xml:space="preserve">1.	Obtain the loan payment history. </t>
  </si>
  <si>
    <r>
      <rPr>
        <sz val="11"/>
        <color rgb="FF000000"/>
        <rFont val="Calibri"/>
        <scheme val="minor"/>
      </rPr>
      <t xml:space="preserve">2.	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Issuer did not provide the loan payment history,</t>
    </r>
    <r>
      <rPr>
        <b/>
        <sz val="11"/>
        <color rgb="FF000000"/>
        <rFont val="Calibri"/>
        <scheme val="minor"/>
      </rPr>
      <t xml:space="preserve"> record Finding 600025.</t>
    </r>
    <r>
      <rPr>
        <sz val="11"/>
        <color rgb="FF000000"/>
        <rFont val="Calibri"/>
        <scheme val="minor"/>
      </rPr>
      <t xml:space="preserve">  Select the appropriate reason from the Finding menu in Exhibit 28 and indicate the loan(s) to which the exception applies.</t>
    </r>
  </si>
  <si>
    <t>3.	Record the payment due date during the month of pool issuance.</t>
  </si>
  <si>
    <t xml:space="preserve">4.	Obtain Form HUD-11705.  </t>
  </si>
  <si>
    <t>5.	Record the date of securitization (pooling date).</t>
  </si>
  <si>
    <t>6. Was the loan delinquent at the time of pool issuance?</t>
  </si>
  <si>
    <r>
      <rPr>
        <sz val="11"/>
        <color rgb="FF000000"/>
        <rFont val="Calibri"/>
        <scheme val="minor"/>
      </rPr>
      <t xml:space="preserve">Confirm that no more than one (1) monthly payment on the loan was due at the time of pooling. 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loan was delinquent at the time of pool issuance, </t>
    </r>
    <r>
      <rPr>
        <b/>
        <sz val="11"/>
        <color rgb="FF000000"/>
        <rFont val="Calibri"/>
        <scheme val="minor"/>
      </rPr>
      <t>record Observation 510454.</t>
    </r>
  </si>
  <si>
    <t>IV.	Confirm that the Issuer does not record security instruments in Ginnie Mae’s name.</t>
  </si>
  <si>
    <t>For each loan that has been referred to foreclosure or in bankruptcy in the test sample:</t>
  </si>
  <si>
    <t xml:space="preserve">1a.	Obtain from the Issuer copies of the note, security instrument, and intervening assignments (if applicable). Determine that the mortgage was not recorded or assigned in Ginnie Mae’s name. </t>
  </si>
  <si>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loan was improperly recorded in Ginnie Mae’s name, </t>
    </r>
    <r>
      <rPr>
        <b/>
        <sz val="11"/>
        <color rgb="FF000000"/>
        <rFont val="Calibri"/>
        <scheme val="minor"/>
      </rPr>
      <t>record Finding 510409.</t>
    </r>
  </si>
  <si>
    <t>1b. Did the Issuer provide evidence that the loan was not recorded in Ginnie Mae's name?</t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</si>
  <si>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 Issuer did not provide evidence that the loan is not recorded in Ginnie Mae’s name, </t>
    </r>
    <r>
      <rPr>
        <b/>
        <sz val="11"/>
        <color rgb="FF000000"/>
        <rFont val="Calibri"/>
        <scheme val="minor"/>
      </rPr>
      <t>record Finding 600025</t>
    </r>
    <r>
      <rPr>
        <sz val="11"/>
        <color rgb="FF000000"/>
        <rFont val="Calibri"/>
        <scheme val="minor"/>
      </rPr>
      <t xml:space="preserve">.  Select the appropriate reason from the Finding menu in Exhibit 28 and indicate the loan(s) to which the exception applies. </t>
    </r>
  </si>
  <si>
    <t>1c. Is there sufficient information available to determine whether the loan was recorded in Ginnie Mae's name?</t>
  </si>
  <si>
    <r>
      <rPr>
        <b/>
        <sz val="11"/>
        <color rgb="FF000000"/>
        <rFont val="Calibri"/>
        <scheme val="minor"/>
      </rPr>
      <t>IF</t>
    </r>
    <r>
      <rPr>
        <sz val="11"/>
        <color rgb="FF000000"/>
        <rFont val="Calibri"/>
        <scheme val="minor"/>
      </rPr>
      <t xml:space="preserve"> there is insufficient information available to determine whether the loan was recorded in Ginnie Mae’s name,</t>
    </r>
    <r>
      <rPr>
        <b/>
        <sz val="11"/>
        <color rgb="FF000000"/>
        <rFont val="Calibri"/>
        <scheme val="minor"/>
      </rPr>
      <t xml:space="preserve"> record Finding 600026</t>
    </r>
    <r>
      <rPr>
        <sz val="11"/>
        <color rgb="FF000000"/>
        <rFont val="Calibri"/>
        <scheme val="minor"/>
      </rPr>
      <t>.  Select the appropriate reason from the Finding menu in Exhibit 28 and indicate the pool(s) to which the exception applies.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</si>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</sst>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E161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/>
    <xf numFmtId="0" fontId="4" fillId="4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64" fontId="6" fillId="4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wrapText="1"/>
    </xf>
    <xf numFmtId="0" fontId="0" fillId="0" borderId="7" xfId="0" applyBorder="1"/>
    <xf numFmtId="0" fontId="4" fillId="5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wrapText="1"/>
    </xf>
    <xf numFmtId="0" fontId="1" fillId="4" borderId="7" xfId="0" applyFont="1" applyFill="1" applyBorder="1" applyAlignment="1">
      <alignment horizontal="left" vertical="center" wrapText="1" indent="1"/>
    </xf>
    <xf numFmtId="0" fontId="0" fillId="4" borderId="6" xfId="0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</cellXfs>
  <cellStyles count="2">
    <cellStyle name="Comma" xfId="1" builtinId="3"/>
    <cellStyle name="Normal" xfId="0" builtinId="0"/>
  </cellStyles>
  <dxfs count="17"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  <dxf>
      <font>
        <b/>
        <i val="0"/>
        <color rgb="FFFF0000"/>
      </font>
      <fill>
        <patternFill>
          <bgColor rgb="FFFFE16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7"/>
  <sheetViews>
    <sheetView tabSelected="1" topLeftCell="A28" workbookViewId="0">
      <selection activeCell="A38" sqref="A38:A39"/>
    </sheetView>
  </sheetViews>
  <sheetFormatPr defaultRowHeight="14.45"/>
  <cols>
    <col min="1" max="1" width="68.7109375" style="5" customWidth="1"/>
    <col min="2" max="51" width="15.7109375" customWidth="1"/>
  </cols>
  <sheetData>
    <row r="1" spans="1:51" ht="36" customHeight="1">
      <c r="A1" s="8" t="s">
        <v>0</v>
      </c>
      <c r="B1" s="9"/>
    </row>
    <row r="3" spans="1:51">
      <c r="A3" s="1" t="s">
        <v>1</v>
      </c>
      <c r="C3" s="26" t="s">
        <v>2</v>
      </c>
      <c r="D3" s="26"/>
      <c r="E3" s="26"/>
      <c r="F3" s="26"/>
      <c r="G3" s="26"/>
      <c r="H3" s="26"/>
      <c r="I3" s="26"/>
    </row>
    <row r="4" spans="1:51" ht="45.75">
      <c r="A4" s="2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6" t="s">
        <v>18</v>
      </c>
      <c r="Q4" s="16" t="s">
        <v>19</v>
      </c>
      <c r="R4" s="16" t="s">
        <v>20</v>
      </c>
      <c r="S4" s="16" t="s">
        <v>21</v>
      </c>
      <c r="T4" s="16" t="s">
        <v>22</v>
      </c>
      <c r="U4" s="16" t="s">
        <v>23</v>
      </c>
      <c r="V4" s="16" t="s">
        <v>24</v>
      </c>
      <c r="W4" s="16" t="s">
        <v>25</v>
      </c>
      <c r="X4" s="16" t="s">
        <v>26</v>
      </c>
      <c r="Y4" s="16" t="s">
        <v>27</v>
      </c>
      <c r="Z4" s="16" t="s">
        <v>28</v>
      </c>
      <c r="AA4" s="16" t="s">
        <v>29</v>
      </c>
      <c r="AB4" s="16" t="s">
        <v>30</v>
      </c>
      <c r="AC4" s="16" t="s">
        <v>31</v>
      </c>
      <c r="AD4" s="16" t="s">
        <v>32</v>
      </c>
      <c r="AE4" s="16" t="s">
        <v>33</v>
      </c>
      <c r="AF4" s="16" t="s">
        <v>34</v>
      </c>
      <c r="AG4" s="16" t="s">
        <v>35</v>
      </c>
      <c r="AH4" s="16" t="s">
        <v>36</v>
      </c>
      <c r="AI4" s="16" t="s">
        <v>37</v>
      </c>
      <c r="AJ4" s="16" t="s">
        <v>38</v>
      </c>
      <c r="AK4" s="16" t="s">
        <v>39</v>
      </c>
      <c r="AL4" s="16" t="s">
        <v>40</v>
      </c>
      <c r="AM4" s="16" t="s">
        <v>41</v>
      </c>
      <c r="AN4" s="16" t="s">
        <v>42</v>
      </c>
      <c r="AO4" s="16" t="s">
        <v>43</v>
      </c>
      <c r="AP4" s="16" t="s">
        <v>44</v>
      </c>
      <c r="AQ4" s="16" t="s">
        <v>45</v>
      </c>
      <c r="AR4" s="16" t="s">
        <v>46</v>
      </c>
      <c r="AS4" s="16" t="s">
        <v>47</v>
      </c>
      <c r="AT4" s="16" t="s">
        <v>48</v>
      </c>
      <c r="AU4" s="16" t="s">
        <v>49</v>
      </c>
      <c r="AV4" s="16" t="s">
        <v>50</v>
      </c>
      <c r="AW4" s="16" t="s">
        <v>51</v>
      </c>
      <c r="AX4" s="16" t="s">
        <v>52</v>
      </c>
      <c r="AY4" s="16" t="s">
        <v>53</v>
      </c>
    </row>
    <row r="5" spans="1:51">
      <c r="A5" s="3" t="s">
        <v>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ht="30.75">
      <c r="A6" s="4" t="s">
        <v>55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spans="1:51" ht="60.75">
      <c r="A7" s="23" t="s">
        <v>56</v>
      </c>
      <c r="B7" s="10" t="str">
        <f>IF(OR(B6="Disagrees"),"100004"," ")</f>
        <v xml:space="preserve"> </v>
      </c>
      <c r="C7" s="10" t="str">
        <f t="shared" ref="C7:AY7" si="0">IF(OR(C6="Disagrees"),"100004"," ")</f>
        <v xml:space="preserve"> </v>
      </c>
      <c r="D7" s="10" t="str">
        <f t="shared" si="0"/>
        <v xml:space="preserve"> </v>
      </c>
      <c r="E7" s="10" t="str">
        <f t="shared" si="0"/>
        <v xml:space="preserve"> </v>
      </c>
      <c r="F7" s="10" t="str">
        <f t="shared" si="0"/>
        <v xml:space="preserve"> </v>
      </c>
      <c r="G7" s="10" t="str">
        <f t="shared" si="0"/>
        <v xml:space="preserve"> </v>
      </c>
      <c r="H7" s="10" t="str">
        <f t="shared" si="0"/>
        <v xml:space="preserve"> </v>
      </c>
      <c r="I7" s="10" t="str">
        <f t="shared" si="0"/>
        <v xml:space="preserve"> </v>
      </c>
      <c r="J7" s="10" t="str">
        <f t="shared" si="0"/>
        <v xml:space="preserve"> </v>
      </c>
      <c r="K7" s="10" t="str">
        <f t="shared" si="0"/>
        <v xml:space="preserve"> </v>
      </c>
      <c r="L7" s="10" t="str">
        <f t="shared" si="0"/>
        <v xml:space="preserve"> </v>
      </c>
      <c r="M7" s="10" t="str">
        <f t="shared" si="0"/>
        <v xml:space="preserve"> </v>
      </c>
      <c r="N7" s="10" t="str">
        <f t="shared" si="0"/>
        <v xml:space="preserve"> </v>
      </c>
      <c r="O7" s="10" t="str">
        <f t="shared" si="0"/>
        <v xml:space="preserve"> </v>
      </c>
      <c r="P7" s="10" t="str">
        <f t="shared" si="0"/>
        <v xml:space="preserve"> </v>
      </c>
      <c r="Q7" s="10" t="str">
        <f t="shared" si="0"/>
        <v xml:space="preserve"> </v>
      </c>
      <c r="R7" s="10" t="str">
        <f t="shared" si="0"/>
        <v xml:space="preserve"> </v>
      </c>
      <c r="S7" s="10" t="str">
        <f t="shared" si="0"/>
        <v xml:space="preserve"> </v>
      </c>
      <c r="T7" s="10" t="str">
        <f t="shared" si="0"/>
        <v xml:space="preserve"> </v>
      </c>
      <c r="U7" s="10" t="str">
        <f t="shared" si="0"/>
        <v xml:space="preserve"> </v>
      </c>
      <c r="V7" s="10" t="str">
        <f t="shared" si="0"/>
        <v xml:space="preserve"> </v>
      </c>
      <c r="W7" s="10" t="str">
        <f t="shared" si="0"/>
        <v xml:space="preserve"> </v>
      </c>
      <c r="X7" s="10" t="str">
        <f t="shared" si="0"/>
        <v xml:space="preserve"> </v>
      </c>
      <c r="Y7" s="10" t="str">
        <f t="shared" si="0"/>
        <v xml:space="preserve"> </v>
      </c>
      <c r="Z7" s="10" t="str">
        <f t="shared" si="0"/>
        <v xml:space="preserve"> </v>
      </c>
      <c r="AA7" s="10" t="str">
        <f t="shared" si="0"/>
        <v xml:space="preserve"> </v>
      </c>
      <c r="AB7" s="10" t="str">
        <f t="shared" si="0"/>
        <v xml:space="preserve"> </v>
      </c>
      <c r="AC7" s="10" t="str">
        <f t="shared" si="0"/>
        <v xml:space="preserve"> </v>
      </c>
      <c r="AD7" s="10" t="str">
        <f t="shared" si="0"/>
        <v xml:space="preserve"> </v>
      </c>
      <c r="AE7" s="10" t="str">
        <f t="shared" si="0"/>
        <v xml:space="preserve"> </v>
      </c>
      <c r="AF7" s="10" t="str">
        <f t="shared" si="0"/>
        <v xml:space="preserve"> </v>
      </c>
      <c r="AG7" s="10" t="str">
        <f t="shared" si="0"/>
        <v xml:space="preserve"> </v>
      </c>
      <c r="AH7" s="10" t="str">
        <f t="shared" si="0"/>
        <v xml:space="preserve"> </v>
      </c>
      <c r="AI7" s="10" t="str">
        <f t="shared" si="0"/>
        <v xml:space="preserve"> </v>
      </c>
      <c r="AJ7" s="10" t="str">
        <f t="shared" si="0"/>
        <v xml:space="preserve"> </v>
      </c>
      <c r="AK7" s="10" t="str">
        <f t="shared" si="0"/>
        <v xml:space="preserve"> </v>
      </c>
      <c r="AL7" s="10" t="str">
        <f t="shared" si="0"/>
        <v xml:space="preserve"> </v>
      </c>
      <c r="AM7" s="10" t="str">
        <f t="shared" si="0"/>
        <v xml:space="preserve"> </v>
      </c>
      <c r="AN7" s="10" t="str">
        <f t="shared" si="0"/>
        <v xml:space="preserve"> </v>
      </c>
      <c r="AO7" s="10" t="str">
        <f t="shared" si="0"/>
        <v xml:space="preserve"> </v>
      </c>
      <c r="AP7" s="10" t="str">
        <f t="shared" si="0"/>
        <v xml:space="preserve"> </v>
      </c>
      <c r="AQ7" s="10" t="str">
        <f t="shared" si="0"/>
        <v xml:space="preserve"> </v>
      </c>
      <c r="AR7" s="10" t="str">
        <f t="shared" si="0"/>
        <v xml:space="preserve"> </v>
      </c>
      <c r="AS7" s="10" t="str">
        <f t="shared" si="0"/>
        <v xml:space="preserve"> </v>
      </c>
      <c r="AT7" s="10" t="str">
        <f t="shared" si="0"/>
        <v xml:space="preserve"> </v>
      </c>
      <c r="AU7" s="10" t="str">
        <f t="shared" si="0"/>
        <v xml:space="preserve"> </v>
      </c>
      <c r="AV7" s="10" t="str">
        <f t="shared" si="0"/>
        <v xml:space="preserve"> </v>
      </c>
      <c r="AW7" s="10" t="str">
        <f t="shared" si="0"/>
        <v xml:space="preserve"> </v>
      </c>
      <c r="AX7" s="10" t="str">
        <f t="shared" si="0"/>
        <v xml:space="preserve"> </v>
      </c>
      <c r="AY7" s="10" t="str">
        <f t="shared" si="0"/>
        <v xml:space="preserve"> </v>
      </c>
    </row>
    <row r="8" spans="1:51" ht="30.75">
      <c r="A8" s="4" t="s">
        <v>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spans="1:51" ht="60.75">
      <c r="A9" s="23" t="s">
        <v>58</v>
      </c>
      <c r="B9" s="10" t="str">
        <f>IF(OR(B8="Disagrees"),"100059"," ")</f>
        <v xml:space="preserve"> </v>
      </c>
      <c r="C9" s="10" t="str">
        <f t="shared" ref="C9:AY9" si="1">IF(OR(C8="Disagrees"),"100059"," ")</f>
        <v xml:space="preserve"> </v>
      </c>
      <c r="D9" s="10" t="str">
        <f t="shared" si="1"/>
        <v xml:space="preserve"> </v>
      </c>
      <c r="E9" s="10" t="str">
        <f t="shared" si="1"/>
        <v xml:space="preserve"> </v>
      </c>
      <c r="F9" s="10" t="str">
        <f t="shared" si="1"/>
        <v xml:space="preserve"> </v>
      </c>
      <c r="G9" s="10" t="str">
        <f t="shared" si="1"/>
        <v xml:space="preserve"> </v>
      </c>
      <c r="H9" s="10" t="str">
        <f t="shared" si="1"/>
        <v xml:space="preserve"> </v>
      </c>
      <c r="I9" s="10" t="str">
        <f t="shared" si="1"/>
        <v xml:space="preserve"> </v>
      </c>
      <c r="J9" s="10" t="str">
        <f t="shared" si="1"/>
        <v xml:space="preserve"> </v>
      </c>
      <c r="K9" s="10" t="str">
        <f t="shared" si="1"/>
        <v xml:space="preserve"> </v>
      </c>
      <c r="L9" s="10" t="str">
        <f t="shared" si="1"/>
        <v xml:space="preserve"> </v>
      </c>
      <c r="M9" s="10" t="str">
        <f t="shared" si="1"/>
        <v xml:space="preserve"> </v>
      </c>
      <c r="N9" s="10" t="str">
        <f t="shared" si="1"/>
        <v xml:space="preserve"> </v>
      </c>
      <c r="O9" s="10" t="str">
        <f t="shared" si="1"/>
        <v xml:space="preserve"> </v>
      </c>
      <c r="P9" s="10" t="str">
        <f t="shared" si="1"/>
        <v xml:space="preserve"> </v>
      </c>
      <c r="Q9" s="10" t="str">
        <f t="shared" si="1"/>
        <v xml:space="preserve"> </v>
      </c>
      <c r="R9" s="10" t="str">
        <f t="shared" si="1"/>
        <v xml:space="preserve"> </v>
      </c>
      <c r="S9" s="10" t="str">
        <f t="shared" si="1"/>
        <v xml:space="preserve"> </v>
      </c>
      <c r="T9" s="10" t="str">
        <f t="shared" si="1"/>
        <v xml:space="preserve"> </v>
      </c>
      <c r="U9" s="10" t="str">
        <f t="shared" si="1"/>
        <v xml:space="preserve"> </v>
      </c>
      <c r="V9" s="10" t="str">
        <f t="shared" si="1"/>
        <v xml:space="preserve"> </v>
      </c>
      <c r="W9" s="10" t="str">
        <f t="shared" si="1"/>
        <v xml:space="preserve"> </v>
      </c>
      <c r="X9" s="10" t="str">
        <f t="shared" si="1"/>
        <v xml:space="preserve"> </v>
      </c>
      <c r="Y9" s="10" t="str">
        <f t="shared" si="1"/>
        <v xml:space="preserve"> </v>
      </c>
      <c r="Z9" s="10" t="str">
        <f t="shared" si="1"/>
        <v xml:space="preserve"> </v>
      </c>
      <c r="AA9" s="10" t="str">
        <f t="shared" si="1"/>
        <v xml:space="preserve"> </v>
      </c>
      <c r="AB9" s="10" t="str">
        <f t="shared" si="1"/>
        <v xml:space="preserve"> </v>
      </c>
      <c r="AC9" s="10" t="str">
        <f t="shared" si="1"/>
        <v xml:space="preserve"> </v>
      </c>
      <c r="AD9" s="10" t="str">
        <f t="shared" si="1"/>
        <v xml:space="preserve"> </v>
      </c>
      <c r="AE9" s="10" t="str">
        <f t="shared" si="1"/>
        <v xml:space="preserve"> </v>
      </c>
      <c r="AF9" s="10" t="str">
        <f t="shared" si="1"/>
        <v xml:space="preserve"> </v>
      </c>
      <c r="AG9" s="10" t="str">
        <f t="shared" si="1"/>
        <v xml:space="preserve"> </v>
      </c>
      <c r="AH9" s="10" t="str">
        <f t="shared" si="1"/>
        <v xml:space="preserve"> </v>
      </c>
      <c r="AI9" s="10" t="str">
        <f t="shared" si="1"/>
        <v xml:space="preserve"> </v>
      </c>
      <c r="AJ9" s="10" t="str">
        <f t="shared" si="1"/>
        <v xml:space="preserve"> </v>
      </c>
      <c r="AK9" s="10" t="str">
        <f t="shared" si="1"/>
        <v xml:space="preserve"> </v>
      </c>
      <c r="AL9" s="10" t="str">
        <f t="shared" si="1"/>
        <v xml:space="preserve"> </v>
      </c>
      <c r="AM9" s="10" t="str">
        <f t="shared" si="1"/>
        <v xml:space="preserve"> </v>
      </c>
      <c r="AN9" s="10" t="str">
        <f t="shared" si="1"/>
        <v xml:space="preserve"> </v>
      </c>
      <c r="AO9" s="10" t="str">
        <f t="shared" si="1"/>
        <v xml:space="preserve"> </v>
      </c>
      <c r="AP9" s="10" t="str">
        <f t="shared" si="1"/>
        <v xml:space="preserve"> </v>
      </c>
      <c r="AQ9" s="10" t="str">
        <f t="shared" si="1"/>
        <v xml:space="preserve"> </v>
      </c>
      <c r="AR9" s="10" t="str">
        <f t="shared" si="1"/>
        <v xml:space="preserve"> </v>
      </c>
      <c r="AS9" s="10" t="str">
        <f t="shared" si="1"/>
        <v xml:space="preserve"> </v>
      </c>
      <c r="AT9" s="10" t="str">
        <f t="shared" si="1"/>
        <v xml:space="preserve"> </v>
      </c>
      <c r="AU9" s="10" t="str">
        <f t="shared" si="1"/>
        <v xml:space="preserve"> </v>
      </c>
      <c r="AV9" s="10" t="str">
        <f t="shared" si="1"/>
        <v xml:space="preserve"> </v>
      </c>
      <c r="AW9" s="10" t="str">
        <f t="shared" si="1"/>
        <v xml:space="preserve"> </v>
      </c>
      <c r="AX9" s="10" t="str">
        <f t="shared" si="1"/>
        <v xml:space="preserve"> </v>
      </c>
      <c r="AY9" s="10" t="str">
        <f t="shared" si="1"/>
        <v xml:space="preserve"> </v>
      </c>
    </row>
    <row r="10" spans="1:51" ht="30.75">
      <c r="A10" s="4" t="s">
        <v>59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ht="43.5" customHeight="1">
      <c r="A11" s="24" t="s">
        <v>60</v>
      </c>
      <c r="B11" s="10" t="str">
        <f>IF(OR(B10="Disagrees"),"400582"," ")</f>
        <v xml:space="preserve"> </v>
      </c>
      <c r="C11" s="10" t="str">
        <f t="shared" ref="C11:AY11" si="2">IF(OR(C10="Disagrees"),"400582"," ")</f>
        <v xml:space="preserve"> </v>
      </c>
      <c r="D11" s="10" t="str">
        <f t="shared" si="2"/>
        <v xml:space="preserve"> </v>
      </c>
      <c r="E11" s="10" t="str">
        <f t="shared" si="2"/>
        <v xml:space="preserve"> </v>
      </c>
      <c r="F11" s="10" t="str">
        <f t="shared" si="2"/>
        <v xml:space="preserve"> </v>
      </c>
      <c r="G11" s="10" t="str">
        <f t="shared" si="2"/>
        <v xml:space="preserve"> </v>
      </c>
      <c r="H11" s="10" t="str">
        <f t="shared" si="2"/>
        <v xml:space="preserve"> </v>
      </c>
      <c r="I11" s="10" t="str">
        <f t="shared" si="2"/>
        <v xml:space="preserve"> </v>
      </c>
      <c r="J11" s="10" t="str">
        <f t="shared" si="2"/>
        <v xml:space="preserve"> </v>
      </c>
      <c r="K11" s="10" t="str">
        <f t="shared" si="2"/>
        <v xml:space="preserve"> </v>
      </c>
      <c r="L11" s="10" t="str">
        <f t="shared" si="2"/>
        <v xml:space="preserve"> </v>
      </c>
      <c r="M11" s="10" t="str">
        <f t="shared" si="2"/>
        <v xml:space="preserve"> </v>
      </c>
      <c r="N11" s="10" t="str">
        <f t="shared" si="2"/>
        <v xml:space="preserve"> </v>
      </c>
      <c r="O11" s="10" t="str">
        <f t="shared" si="2"/>
        <v xml:space="preserve"> </v>
      </c>
      <c r="P11" s="10" t="str">
        <f t="shared" si="2"/>
        <v xml:space="preserve"> </v>
      </c>
      <c r="Q11" s="10" t="str">
        <f t="shared" si="2"/>
        <v xml:space="preserve"> </v>
      </c>
      <c r="R11" s="10" t="str">
        <f t="shared" si="2"/>
        <v xml:space="preserve"> </v>
      </c>
      <c r="S11" s="10" t="str">
        <f t="shared" si="2"/>
        <v xml:space="preserve"> </v>
      </c>
      <c r="T11" s="10" t="str">
        <f t="shared" si="2"/>
        <v xml:space="preserve"> </v>
      </c>
      <c r="U11" s="10" t="str">
        <f t="shared" si="2"/>
        <v xml:space="preserve"> </v>
      </c>
      <c r="V11" s="10" t="str">
        <f t="shared" si="2"/>
        <v xml:space="preserve"> </v>
      </c>
      <c r="W11" s="10" t="str">
        <f t="shared" si="2"/>
        <v xml:space="preserve"> </v>
      </c>
      <c r="X11" s="10" t="str">
        <f t="shared" si="2"/>
        <v xml:space="preserve"> </v>
      </c>
      <c r="Y11" s="10" t="str">
        <f t="shared" si="2"/>
        <v xml:space="preserve"> </v>
      </c>
      <c r="Z11" s="10" t="str">
        <f t="shared" si="2"/>
        <v xml:space="preserve"> </v>
      </c>
      <c r="AA11" s="10" t="str">
        <f t="shared" si="2"/>
        <v xml:space="preserve"> </v>
      </c>
      <c r="AB11" s="10" t="str">
        <f t="shared" si="2"/>
        <v xml:space="preserve"> </v>
      </c>
      <c r="AC11" s="10" t="str">
        <f t="shared" si="2"/>
        <v xml:space="preserve"> </v>
      </c>
      <c r="AD11" s="10" t="str">
        <f t="shared" si="2"/>
        <v xml:space="preserve"> </v>
      </c>
      <c r="AE11" s="10" t="str">
        <f t="shared" si="2"/>
        <v xml:space="preserve"> </v>
      </c>
      <c r="AF11" s="10" t="str">
        <f t="shared" si="2"/>
        <v xml:space="preserve"> </v>
      </c>
      <c r="AG11" s="10" t="str">
        <f t="shared" si="2"/>
        <v xml:space="preserve"> </v>
      </c>
      <c r="AH11" s="10" t="str">
        <f t="shared" si="2"/>
        <v xml:space="preserve"> </v>
      </c>
      <c r="AI11" s="10" t="str">
        <f t="shared" si="2"/>
        <v xml:space="preserve"> </v>
      </c>
      <c r="AJ11" s="10" t="str">
        <f t="shared" si="2"/>
        <v xml:space="preserve"> </v>
      </c>
      <c r="AK11" s="10" t="str">
        <f t="shared" si="2"/>
        <v xml:space="preserve"> </v>
      </c>
      <c r="AL11" s="10" t="str">
        <f t="shared" si="2"/>
        <v xml:space="preserve"> </v>
      </c>
      <c r="AM11" s="10" t="str">
        <f t="shared" si="2"/>
        <v xml:space="preserve"> </v>
      </c>
      <c r="AN11" s="10" t="str">
        <f t="shared" si="2"/>
        <v xml:space="preserve"> </v>
      </c>
      <c r="AO11" s="10" t="str">
        <f t="shared" si="2"/>
        <v xml:space="preserve"> </v>
      </c>
      <c r="AP11" s="10" t="str">
        <f t="shared" si="2"/>
        <v xml:space="preserve"> </v>
      </c>
      <c r="AQ11" s="10" t="str">
        <f t="shared" si="2"/>
        <v xml:space="preserve"> </v>
      </c>
      <c r="AR11" s="10" t="str">
        <f t="shared" si="2"/>
        <v xml:space="preserve"> </v>
      </c>
      <c r="AS11" s="10" t="str">
        <f t="shared" si="2"/>
        <v xml:space="preserve"> </v>
      </c>
      <c r="AT11" s="10" t="str">
        <f t="shared" si="2"/>
        <v xml:space="preserve"> </v>
      </c>
      <c r="AU11" s="10" t="str">
        <f t="shared" si="2"/>
        <v xml:space="preserve"> </v>
      </c>
      <c r="AV11" s="10" t="str">
        <f t="shared" si="2"/>
        <v xml:space="preserve"> </v>
      </c>
      <c r="AW11" s="10" t="str">
        <f t="shared" si="2"/>
        <v xml:space="preserve"> </v>
      </c>
      <c r="AX11" s="10" t="str">
        <f t="shared" si="2"/>
        <v xml:space="preserve"> </v>
      </c>
      <c r="AY11" s="10" t="str">
        <f t="shared" si="2"/>
        <v xml:space="preserve"> </v>
      </c>
    </row>
    <row r="12" spans="1:51">
      <c r="A12" s="2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ht="45.75">
      <c r="A13" s="4" t="s">
        <v>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57.95" customHeight="1">
      <c r="A14" s="24" t="s">
        <v>62</v>
      </c>
      <c r="B14" s="10" t="str">
        <f>IF(OR(B13="Disagrees"),"400310"," ")</f>
        <v xml:space="preserve"> </v>
      </c>
      <c r="C14" s="10" t="str">
        <f t="shared" ref="C14:AY14" si="3">IF(OR(C13="Disagrees"),"400310"," ")</f>
        <v xml:space="preserve"> </v>
      </c>
      <c r="D14" s="10" t="str">
        <f t="shared" si="3"/>
        <v xml:space="preserve"> </v>
      </c>
      <c r="E14" s="10" t="str">
        <f t="shared" si="3"/>
        <v xml:space="preserve"> </v>
      </c>
      <c r="F14" s="10" t="str">
        <f t="shared" si="3"/>
        <v xml:space="preserve"> </v>
      </c>
      <c r="G14" s="10" t="str">
        <f t="shared" si="3"/>
        <v xml:space="preserve"> </v>
      </c>
      <c r="H14" s="10" t="str">
        <f t="shared" si="3"/>
        <v xml:space="preserve"> </v>
      </c>
      <c r="I14" s="10" t="str">
        <f t="shared" si="3"/>
        <v xml:space="preserve"> </v>
      </c>
      <c r="J14" s="10" t="str">
        <f t="shared" si="3"/>
        <v xml:space="preserve"> </v>
      </c>
      <c r="K14" s="10" t="str">
        <f t="shared" si="3"/>
        <v xml:space="preserve"> </v>
      </c>
      <c r="L14" s="10" t="str">
        <f t="shared" si="3"/>
        <v xml:space="preserve"> </v>
      </c>
      <c r="M14" s="10" t="str">
        <f t="shared" si="3"/>
        <v xml:space="preserve"> </v>
      </c>
      <c r="N14" s="10" t="str">
        <f t="shared" si="3"/>
        <v xml:space="preserve"> </v>
      </c>
      <c r="O14" s="10" t="str">
        <f t="shared" si="3"/>
        <v xml:space="preserve"> </v>
      </c>
      <c r="P14" s="10" t="str">
        <f t="shared" si="3"/>
        <v xml:space="preserve"> </v>
      </c>
      <c r="Q14" s="10" t="str">
        <f t="shared" si="3"/>
        <v xml:space="preserve"> </v>
      </c>
      <c r="R14" s="10" t="str">
        <f t="shared" si="3"/>
        <v xml:space="preserve"> </v>
      </c>
      <c r="S14" s="10" t="str">
        <f t="shared" si="3"/>
        <v xml:space="preserve"> </v>
      </c>
      <c r="T14" s="10" t="str">
        <f t="shared" si="3"/>
        <v xml:space="preserve"> </v>
      </c>
      <c r="U14" s="10" t="str">
        <f t="shared" si="3"/>
        <v xml:space="preserve"> </v>
      </c>
      <c r="V14" s="10" t="str">
        <f t="shared" si="3"/>
        <v xml:space="preserve"> </v>
      </c>
      <c r="W14" s="10" t="str">
        <f t="shared" si="3"/>
        <v xml:space="preserve"> </v>
      </c>
      <c r="X14" s="10" t="str">
        <f t="shared" si="3"/>
        <v xml:space="preserve"> </v>
      </c>
      <c r="Y14" s="10" t="str">
        <f t="shared" si="3"/>
        <v xml:space="preserve"> </v>
      </c>
      <c r="Z14" s="10" t="str">
        <f t="shared" si="3"/>
        <v xml:space="preserve"> </v>
      </c>
      <c r="AA14" s="10" t="str">
        <f t="shared" si="3"/>
        <v xml:space="preserve"> </v>
      </c>
      <c r="AB14" s="10" t="str">
        <f t="shared" si="3"/>
        <v xml:space="preserve"> </v>
      </c>
      <c r="AC14" s="10" t="str">
        <f t="shared" si="3"/>
        <v xml:space="preserve"> </v>
      </c>
      <c r="AD14" s="10" t="str">
        <f t="shared" si="3"/>
        <v xml:space="preserve"> </v>
      </c>
      <c r="AE14" s="10" t="str">
        <f t="shared" si="3"/>
        <v xml:space="preserve"> </v>
      </c>
      <c r="AF14" s="10" t="str">
        <f t="shared" si="3"/>
        <v xml:space="preserve"> </v>
      </c>
      <c r="AG14" s="10" t="str">
        <f t="shared" si="3"/>
        <v xml:space="preserve"> </v>
      </c>
      <c r="AH14" s="10" t="str">
        <f t="shared" si="3"/>
        <v xml:space="preserve"> </v>
      </c>
      <c r="AI14" s="10" t="str">
        <f t="shared" si="3"/>
        <v xml:space="preserve"> </v>
      </c>
      <c r="AJ14" s="10" t="str">
        <f t="shared" si="3"/>
        <v xml:space="preserve"> </v>
      </c>
      <c r="AK14" s="10" t="str">
        <f t="shared" si="3"/>
        <v xml:space="preserve"> </v>
      </c>
      <c r="AL14" s="10" t="str">
        <f t="shared" si="3"/>
        <v xml:space="preserve"> </v>
      </c>
      <c r="AM14" s="10" t="str">
        <f t="shared" si="3"/>
        <v xml:space="preserve"> </v>
      </c>
      <c r="AN14" s="10" t="str">
        <f t="shared" si="3"/>
        <v xml:space="preserve"> </v>
      </c>
      <c r="AO14" s="10" t="str">
        <f t="shared" si="3"/>
        <v xml:space="preserve"> </v>
      </c>
      <c r="AP14" s="10" t="str">
        <f t="shared" si="3"/>
        <v xml:space="preserve"> </v>
      </c>
      <c r="AQ14" s="10" t="str">
        <f t="shared" si="3"/>
        <v xml:space="preserve"> </v>
      </c>
      <c r="AR14" s="10" t="str">
        <f t="shared" si="3"/>
        <v xml:space="preserve"> </v>
      </c>
      <c r="AS14" s="10" t="str">
        <f t="shared" si="3"/>
        <v xml:space="preserve"> </v>
      </c>
      <c r="AT14" s="10" t="str">
        <f t="shared" si="3"/>
        <v xml:space="preserve"> </v>
      </c>
      <c r="AU14" s="10" t="str">
        <f t="shared" si="3"/>
        <v xml:space="preserve"> </v>
      </c>
      <c r="AV14" s="10" t="str">
        <f t="shared" si="3"/>
        <v xml:space="preserve"> </v>
      </c>
      <c r="AW14" s="10" t="str">
        <f t="shared" si="3"/>
        <v xml:space="preserve"> </v>
      </c>
      <c r="AX14" s="10" t="str">
        <f t="shared" si="3"/>
        <v xml:space="preserve"> </v>
      </c>
      <c r="AY14" s="10" t="str">
        <f t="shared" si="3"/>
        <v xml:space="preserve"> </v>
      </c>
    </row>
    <row r="15" spans="1:51">
      <c r="A15" s="2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ht="30.75">
      <c r="A16" s="11" t="s">
        <v>63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1:51" ht="57.95" customHeight="1">
      <c r="A17" s="24" t="s">
        <v>64</v>
      </c>
      <c r="B17" s="10" t="str">
        <f>IF(OR(B16="No"),"600025"," ")</f>
        <v xml:space="preserve"> </v>
      </c>
      <c r="C17" s="10" t="str">
        <f t="shared" ref="C17:AY17" si="4">IF(OR(C16="No"),"600025"," ")</f>
        <v xml:space="preserve"> </v>
      </c>
      <c r="D17" s="10" t="str">
        <f t="shared" si="4"/>
        <v xml:space="preserve"> </v>
      </c>
      <c r="E17" s="10" t="str">
        <f t="shared" si="4"/>
        <v xml:space="preserve"> </v>
      </c>
      <c r="F17" s="10" t="str">
        <f t="shared" si="4"/>
        <v xml:space="preserve"> </v>
      </c>
      <c r="G17" s="10" t="str">
        <f t="shared" si="4"/>
        <v xml:space="preserve"> </v>
      </c>
      <c r="H17" s="10" t="str">
        <f t="shared" si="4"/>
        <v xml:space="preserve"> </v>
      </c>
      <c r="I17" s="10" t="str">
        <f t="shared" si="4"/>
        <v xml:space="preserve"> </v>
      </c>
      <c r="J17" s="10" t="str">
        <f t="shared" si="4"/>
        <v xml:space="preserve"> </v>
      </c>
      <c r="K17" s="10" t="str">
        <f t="shared" si="4"/>
        <v xml:space="preserve"> </v>
      </c>
      <c r="L17" s="10" t="str">
        <f t="shared" si="4"/>
        <v xml:space="preserve"> </v>
      </c>
      <c r="M17" s="10" t="str">
        <f t="shared" si="4"/>
        <v xml:space="preserve"> </v>
      </c>
      <c r="N17" s="10" t="str">
        <f t="shared" si="4"/>
        <v xml:space="preserve"> </v>
      </c>
      <c r="O17" s="10" t="str">
        <f t="shared" si="4"/>
        <v xml:space="preserve"> </v>
      </c>
      <c r="P17" s="10" t="str">
        <f t="shared" si="4"/>
        <v xml:space="preserve"> </v>
      </c>
      <c r="Q17" s="10" t="str">
        <f t="shared" si="4"/>
        <v xml:space="preserve"> </v>
      </c>
      <c r="R17" s="10" t="str">
        <f t="shared" si="4"/>
        <v xml:space="preserve"> </v>
      </c>
      <c r="S17" s="10" t="str">
        <f t="shared" si="4"/>
        <v xml:space="preserve"> </v>
      </c>
      <c r="T17" s="10" t="str">
        <f t="shared" si="4"/>
        <v xml:space="preserve"> </v>
      </c>
      <c r="U17" s="10" t="str">
        <f t="shared" si="4"/>
        <v xml:space="preserve"> </v>
      </c>
      <c r="V17" s="10" t="str">
        <f t="shared" si="4"/>
        <v xml:space="preserve"> </v>
      </c>
      <c r="W17" s="10" t="str">
        <f t="shared" si="4"/>
        <v xml:space="preserve"> </v>
      </c>
      <c r="X17" s="10" t="str">
        <f t="shared" si="4"/>
        <v xml:space="preserve"> </v>
      </c>
      <c r="Y17" s="10" t="str">
        <f t="shared" si="4"/>
        <v xml:space="preserve"> </v>
      </c>
      <c r="Z17" s="10" t="str">
        <f t="shared" si="4"/>
        <v xml:space="preserve"> </v>
      </c>
      <c r="AA17" s="10" t="str">
        <f t="shared" si="4"/>
        <v xml:space="preserve"> </v>
      </c>
      <c r="AB17" s="10" t="str">
        <f t="shared" si="4"/>
        <v xml:space="preserve"> </v>
      </c>
      <c r="AC17" s="10" t="str">
        <f t="shared" si="4"/>
        <v xml:space="preserve"> </v>
      </c>
      <c r="AD17" s="10" t="str">
        <f t="shared" si="4"/>
        <v xml:space="preserve"> </v>
      </c>
      <c r="AE17" s="10" t="str">
        <f t="shared" si="4"/>
        <v xml:space="preserve"> </v>
      </c>
      <c r="AF17" s="10" t="str">
        <f t="shared" si="4"/>
        <v xml:space="preserve"> </v>
      </c>
      <c r="AG17" s="10" t="str">
        <f t="shared" si="4"/>
        <v xml:space="preserve"> </v>
      </c>
      <c r="AH17" s="10" t="str">
        <f t="shared" si="4"/>
        <v xml:space="preserve"> </v>
      </c>
      <c r="AI17" s="10" t="str">
        <f t="shared" si="4"/>
        <v xml:space="preserve"> </v>
      </c>
      <c r="AJ17" s="10" t="str">
        <f t="shared" si="4"/>
        <v xml:space="preserve"> </v>
      </c>
      <c r="AK17" s="10" t="str">
        <f t="shared" si="4"/>
        <v xml:space="preserve"> </v>
      </c>
      <c r="AL17" s="10" t="str">
        <f t="shared" si="4"/>
        <v xml:space="preserve"> </v>
      </c>
      <c r="AM17" s="10" t="str">
        <f t="shared" si="4"/>
        <v xml:space="preserve"> </v>
      </c>
      <c r="AN17" s="10" t="str">
        <f t="shared" si="4"/>
        <v xml:space="preserve"> </v>
      </c>
      <c r="AO17" s="10" t="str">
        <f t="shared" si="4"/>
        <v xml:space="preserve"> </v>
      </c>
      <c r="AP17" s="10" t="str">
        <f t="shared" si="4"/>
        <v xml:space="preserve"> </v>
      </c>
      <c r="AQ17" s="10" t="str">
        <f t="shared" si="4"/>
        <v xml:space="preserve"> </v>
      </c>
      <c r="AR17" s="10" t="str">
        <f t="shared" si="4"/>
        <v xml:space="preserve"> </v>
      </c>
      <c r="AS17" s="10" t="str">
        <f t="shared" si="4"/>
        <v xml:space="preserve"> </v>
      </c>
      <c r="AT17" s="10" t="str">
        <f t="shared" si="4"/>
        <v xml:space="preserve"> </v>
      </c>
      <c r="AU17" s="10" t="str">
        <f t="shared" si="4"/>
        <v xml:space="preserve"> </v>
      </c>
      <c r="AV17" s="10" t="str">
        <f t="shared" si="4"/>
        <v xml:space="preserve"> </v>
      </c>
      <c r="AW17" s="10" t="str">
        <f t="shared" si="4"/>
        <v xml:space="preserve"> </v>
      </c>
      <c r="AX17" s="10" t="str">
        <f t="shared" si="4"/>
        <v xml:space="preserve"> </v>
      </c>
      <c r="AY17" s="10" t="str">
        <f t="shared" si="4"/>
        <v xml:space="preserve"> </v>
      </c>
    </row>
    <row r="18" spans="1:51">
      <c r="A18" s="2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30.75">
      <c r="A19" s="4" t="s">
        <v>65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ht="57.95" customHeight="1">
      <c r="A20" s="24" t="s">
        <v>66</v>
      </c>
      <c r="B20" s="10" t="str">
        <f>IF(OR(B19="Disagrees"),"100000"," ")</f>
        <v xml:space="preserve"> </v>
      </c>
      <c r="C20" s="10" t="str">
        <f t="shared" ref="C20:AY20" si="5">IF(OR(C19="Disagrees"),"100000"," ")</f>
        <v xml:space="preserve"> </v>
      </c>
      <c r="D20" s="10" t="str">
        <f t="shared" si="5"/>
        <v xml:space="preserve"> </v>
      </c>
      <c r="E20" s="10" t="str">
        <f t="shared" si="5"/>
        <v xml:space="preserve"> </v>
      </c>
      <c r="F20" s="10" t="str">
        <f t="shared" si="5"/>
        <v xml:space="preserve"> </v>
      </c>
      <c r="G20" s="10" t="str">
        <f t="shared" si="5"/>
        <v xml:space="preserve"> </v>
      </c>
      <c r="H20" s="10" t="str">
        <f t="shared" si="5"/>
        <v xml:space="preserve"> </v>
      </c>
      <c r="I20" s="10" t="str">
        <f t="shared" si="5"/>
        <v xml:space="preserve"> </v>
      </c>
      <c r="J20" s="10" t="str">
        <f t="shared" si="5"/>
        <v xml:space="preserve"> </v>
      </c>
      <c r="K20" s="10" t="str">
        <f t="shared" si="5"/>
        <v xml:space="preserve"> </v>
      </c>
      <c r="L20" s="10" t="str">
        <f t="shared" si="5"/>
        <v xml:space="preserve"> </v>
      </c>
      <c r="M20" s="10" t="str">
        <f t="shared" si="5"/>
        <v xml:space="preserve"> </v>
      </c>
      <c r="N20" s="10" t="str">
        <f t="shared" si="5"/>
        <v xml:space="preserve"> </v>
      </c>
      <c r="O20" s="10" t="str">
        <f t="shared" si="5"/>
        <v xml:space="preserve"> </v>
      </c>
      <c r="P20" s="10" t="str">
        <f t="shared" si="5"/>
        <v xml:space="preserve"> </v>
      </c>
      <c r="Q20" s="10" t="str">
        <f t="shared" si="5"/>
        <v xml:space="preserve"> </v>
      </c>
      <c r="R20" s="10" t="str">
        <f t="shared" si="5"/>
        <v xml:space="preserve"> </v>
      </c>
      <c r="S20" s="10" t="str">
        <f t="shared" si="5"/>
        <v xml:space="preserve"> </v>
      </c>
      <c r="T20" s="10" t="str">
        <f t="shared" si="5"/>
        <v xml:space="preserve"> </v>
      </c>
      <c r="U20" s="10" t="str">
        <f t="shared" si="5"/>
        <v xml:space="preserve"> </v>
      </c>
      <c r="V20" s="10" t="str">
        <f t="shared" si="5"/>
        <v xml:space="preserve"> </v>
      </c>
      <c r="W20" s="10" t="str">
        <f t="shared" si="5"/>
        <v xml:space="preserve"> </v>
      </c>
      <c r="X20" s="10" t="str">
        <f t="shared" si="5"/>
        <v xml:space="preserve"> </v>
      </c>
      <c r="Y20" s="10" t="str">
        <f t="shared" si="5"/>
        <v xml:space="preserve"> </v>
      </c>
      <c r="Z20" s="10" t="str">
        <f t="shared" si="5"/>
        <v xml:space="preserve"> </v>
      </c>
      <c r="AA20" s="10" t="str">
        <f t="shared" si="5"/>
        <v xml:space="preserve"> </v>
      </c>
      <c r="AB20" s="10" t="str">
        <f t="shared" si="5"/>
        <v xml:space="preserve"> </v>
      </c>
      <c r="AC20" s="10" t="str">
        <f t="shared" si="5"/>
        <v xml:space="preserve"> </v>
      </c>
      <c r="AD20" s="10" t="str">
        <f t="shared" si="5"/>
        <v xml:space="preserve"> </v>
      </c>
      <c r="AE20" s="10" t="str">
        <f t="shared" si="5"/>
        <v xml:space="preserve"> </v>
      </c>
      <c r="AF20" s="10" t="str">
        <f t="shared" si="5"/>
        <v xml:space="preserve"> </v>
      </c>
      <c r="AG20" s="10" t="str">
        <f t="shared" si="5"/>
        <v xml:space="preserve"> </v>
      </c>
      <c r="AH20" s="10" t="str">
        <f t="shared" si="5"/>
        <v xml:space="preserve"> </v>
      </c>
      <c r="AI20" s="10" t="str">
        <f t="shared" si="5"/>
        <v xml:space="preserve"> </v>
      </c>
      <c r="AJ20" s="10" t="str">
        <f t="shared" si="5"/>
        <v xml:space="preserve"> </v>
      </c>
      <c r="AK20" s="10" t="str">
        <f t="shared" si="5"/>
        <v xml:space="preserve"> </v>
      </c>
      <c r="AL20" s="10" t="str">
        <f t="shared" si="5"/>
        <v xml:space="preserve"> </v>
      </c>
      <c r="AM20" s="10" t="str">
        <f t="shared" si="5"/>
        <v xml:space="preserve"> </v>
      </c>
      <c r="AN20" s="10" t="str">
        <f t="shared" si="5"/>
        <v xml:space="preserve"> </v>
      </c>
      <c r="AO20" s="10" t="str">
        <f t="shared" si="5"/>
        <v xml:space="preserve"> </v>
      </c>
      <c r="AP20" s="10" t="str">
        <f t="shared" si="5"/>
        <v xml:space="preserve"> </v>
      </c>
      <c r="AQ20" s="10" t="str">
        <f t="shared" si="5"/>
        <v xml:space="preserve"> </v>
      </c>
      <c r="AR20" s="10" t="str">
        <f t="shared" si="5"/>
        <v xml:space="preserve"> </v>
      </c>
      <c r="AS20" s="10" t="str">
        <f t="shared" si="5"/>
        <v xml:space="preserve"> </v>
      </c>
      <c r="AT20" s="10" t="str">
        <f t="shared" si="5"/>
        <v xml:space="preserve"> </v>
      </c>
      <c r="AU20" s="10" t="str">
        <f t="shared" si="5"/>
        <v xml:space="preserve"> </v>
      </c>
      <c r="AV20" s="10" t="str">
        <f t="shared" si="5"/>
        <v xml:space="preserve"> </v>
      </c>
      <c r="AW20" s="10" t="str">
        <f t="shared" si="5"/>
        <v xml:space="preserve"> </v>
      </c>
      <c r="AX20" s="10" t="str">
        <f t="shared" si="5"/>
        <v xml:space="preserve"> </v>
      </c>
      <c r="AY20" s="10" t="str">
        <f t="shared" si="5"/>
        <v xml:space="preserve"> </v>
      </c>
    </row>
    <row r="21" spans="1:51">
      <c r="A21" s="2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60.75">
      <c r="A22" s="11" t="s">
        <v>67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1" ht="72.599999999999994" customHeight="1">
      <c r="A23" s="24" t="s">
        <v>68</v>
      </c>
      <c r="B23" s="10" t="str">
        <f>IF(OR(B22="Yes"),"600026"," ")</f>
        <v xml:space="preserve"> </v>
      </c>
      <c r="C23" s="10" t="str">
        <f t="shared" ref="C23:AY23" si="6">IF(OR(C22="Yes"),"600026"," ")</f>
        <v xml:space="preserve"> </v>
      </c>
      <c r="D23" s="10" t="str">
        <f t="shared" si="6"/>
        <v xml:space="preserve"> </v>
      </c>
      <c r="E23" s="10" t="str">
        <f t="shared" si="6"/>
        <v xml:space="preserve"> </v>
      </c>
      <c r="F23" s="10" t="str">
        <f t="shared" si="6"/>
        <v xml:space="preserve"> </v>
      </c>
      <c r="G23" s="10" t="str">
        <f t="shared" si="6"/>
        <v xml:space="preserve"> </v>
      </c>
      <c r="H23" s="10" t="str">
        <f t="shared" si="6"/>
        <v xml:space="preserve"> </v>
      </c>
      <c r="I23" s="10" t="str">
        <f t="shared" si="6"/>
        <v xml:space="preserve"> </v>
      </c>
      <c r="J23" s="10" t="str">
        <f t="shared" si="6"/>
        <v xml:space="preserve"> </v>
      </c>
      <c r="K23" s="10" t="str">
        <f t="shared" si="6"/>
        <v xml:space="preserve"> </v>
      </c>
      <c r="L23" s="10" t="str">
        <f t="shared" si="6"/>
        <v xml:space="preserve"> </v>
      </c>
      <c r="M23" s="10" t="str">
        <f t="shared" si="6"/>
        <v xml:space="preserve"> </v>
      </c>
      <c r="N23" s="10" t="str">
        <f t="shared" si="6"/>
        <v xml:space="preserve"> </v>
      </c>
      <c r="O23" s="10" t="str">
        <f t="shared" si="6"/>
        <v xml:space="preserve"> </v>
      </c>
      <c r="P23" s="10" t="str">
        <f t="shared" si="6"/>
        <v xml:space="preserve"> </v>
      </c>
      <c r="Q23" s="10" t="str">
        <f t="shared" si="6"/>
        <v xml:space="preserve"> </v>
      </c>
      <c r="R23" s="10" t="str">
        <f t="shared" si="6"/>
        <v xml:space="preserve"> </v>
      </c>
      <c r="S23" s="10" t="str">
        <f t="shared" si="6"/>
        <v xml:space="preserve"> </v>
      </c>
      <c r="T23" s="10" t="str">
        <f t="shared" si="6"/>
        <v xml:space="preserve"> </v>
      </c>
      <c r="U23" s="10" t="str">
        <f t="shared" si="6"/>
        <v xml:space="preserve"> </v>
      </c>
      <c r="V23" s="10" t="str">
        <f t="shared" si="6"/>
        <v xml:space="preserve"> </v>
      </c>
      <c r="W23" s="10" t="str">
        <f t="shared" si="6"/>
        <v xml:space="preserve"> </v>
      </c>
      <c r="X23" s="10" t="str">
        <f t="shared" si="6"/>
        <v xml:space="preserve"> </v>
      </c>
      <c r="Y23" s="10" t="str">
        <f t="shared" si="6"/>
        <v xml:space="preserve"> </v>
      </c>
      <c r="Z23" s="10" t="str">
        <f t="shared" si="6"/>
        <v xml:space="preserve"> </v>
      </c>
      <c r="AA23" s="10" t="str">
        <f t="shared" si="6"/>
        <v xml:space="preserve"> </v>
      </c>
      <c r="AB23" s="10" t="str">
        <f t="shared" si="6"/>
        <v xml:space="preserve"> </v>
      </c>
      <c r="AC23" s="10" t="str">
        <f t="shared" si="6"/>
        <v xml:space="preserve"> </v>
      </c>
      <c r="AD23" s="10" t="str">
        <f t="shared" si="6"/>
        <v xml:space="preserve"> </v>
      </c>
      <c r="AE23" s="10" t="str">
        <f t="shared" si="6"/>
        <v xml:space="preserve"> </v>
      </c>
      <c r="AF23" s="10" t="str">
        <f t="shared" si="6"/>
        <v xml:space="preserve"> </v>
      </c>
      <c r="AG23" s="10" t="str">
        <f t="shared" si="6"/>
        <v xml:space="preserve"> </v>
      </c>
      <c r="AH23" s="10" t="str">
        <f t="shared" si="6"/>
        <v xml:space="preserve"> </v>
      </c>
      <c r="AI23" s="10" t="str">
        <f t="shared" si="6"/>
        <v xml:space="preserve"> </v>
      </c>
      <c r="AJ23" s="10" t="str">
        <f t="shared" si="6"/>
        <v xml:space="preserve"> </v>
      </c>
      <c r="AK23" s="10" t="str">
        <f t="shared" si="6"/>
        <v xml:space="preserve"> </v>
      </c>
      <c r="AL23" s="10" t="str">
        <f t="shared" si="6"/>
        <v xml:space="preserve"> </v>
      </c>
      <c r="AM23" s="10" t="str">
        <f t="shared" si="6"/>
        <v xml:space="preserve"> </v>
      </c>
      <c r="AN23" s="10" t="str">
        <f t="shared" si="6"/>
        <v xml:space="preserve"> </v>
      </c>
      <c r="AO23" s="10" t="str">
        <f t="shared" si="6"/>
        <v xml:space="preserve"> </v>
      </c>
      <c r="AP23" s="10" t="str">
        <f t="shared" si="6"/>
        <v xml:space="preserve"> </v>
      </c>
      <c r="AQ23" s="10" t="str">
        <f t="shared" si="6"/>
        <v xml:space="preserve"> </v>
      </c>
      <c r="AR23" s="10" t="str">
        <f t="shared" si="6"/>
        <v xml:space="preserve"> </v>
      </c>
      <c r="AS23" s="10" t="str">
        <f t="shared" si="6"/>
        <v xml:space="preserve"> </v>
      </c>
      <c r="AT23" s="10" t="str">
        <f t="shared" si="6"/>
        <v xml:space="preserve"> </v>
      </c>
      <c r="AU23" s="10" t="str">
        <f t="shared" si="6"/>
        <v xml:space="preserve"> </v>
      </c>
      <c r="AV23" s="10" t="str">
        <f t="shared" si="6"/>
        <v xml:space="preserve"> </v>
      </c>
      <c r="AW23" s="10" t="str">
        <f t="shared" si="6"/>
        <v xml:space="preserve"> </v>
      </c>
      <c r="AX23" s="10" t="str">
        <f t="shared" si="6"/>
        <v xml:space="preserve"> </v>
      </c>
      <c r="AY23" s="10" t="str">
        <f t="shared" si="6"/>
        <v xml:space="preserve"> </v>
      </c>
    </row>
    <row r="24" spans="1:51">
      <c r="A24" s="2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45.75">
      <c r="A25" s="11" t="s">
        <v>69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1" ht="57.95" customHeight="1">
      <c r="A26" s="24" t="s">
        <v>70</v>
      </c>
      <c r="B26" s="10" t="str">
        <f>IF(OR(B25="No"),"100057"," ")</f>
        <v xml:space="preserve"> </v>
      </c>
      <c r="C26" s="10" t="str">
        <f t="shared" ref="C26:AY26" si="7">IF(OR(C25="No"),"100057"," ")</f>
        <v xml:space="preserve"> </v>
      </c>
      <c r="D26" s="10" t="str">
        <f t="shared" si="7"/>
        <v xml:space="preserve"> </v>
      </c>
      <c r="E26" s="10" t="str">
        <f t="shared" si="7"/>
        <v xml:space="preserve"> </v>
      </c>
      <c r="F26" s="10" t="str">
        <f t="shared" si="7"/>
        <v xml:space="preserve"> </v>
      </c>
      <c r="G26" s="10" t="str">
        <f t="shared" si="7"/>
        <v xml:space="preserve"> </v>
      </c>
      <c r="H26" s="10" t="str">
        <f t="shared" si="7"/>
        <v xml:space="preserve"> </v>
      </c>
      <c r="I26" s="10" t="str">
        <f t="shared" si="7"/>
        <v xml:space="preserve"> </v>
      </c>
      <c r="J26" s="10" t="str">
        <f t="shared" si="7"/>
        <v xml:space="preserve"> </v>
      </c>
      <c r="K26" s="10" t="str">
        <f t="shared" si="7"/>
        <v xml:space="preserve"> </v>
      </c>
      <c r="L26" s="10" t="str">
        <f t="shared" si="7"/>
        <v xml:space="preserve"> </v>
      </c>
      <c r="M26" s="10" t="str">
        <f t="shared" si="7"/>
        <v xml:space="preserve"> </v>
      </c>
      <c r="N26" s="10" t="str">
        <f t="shared" si="7"/>
        <v xml:space="preserve"> </v>
      </c>
      <c r="O26" s="10" t="str">
        <f t="shared" si="7"/>
        <v xml:space="preserve"> </v>
      </c>
      <c r="P26" s="10" t="str">
        <f t="shared" si="7"/>
        <v xml:space="preserve"> </v>
      </c>
      <c r="Q26" s="10" t="str">
        <f t="shared" si="7"/>
        <v xml:space="preserve"> </v>
      </c>
      <c r="R26" s="10" t="str">
        <f t="shared" si="7"/>
        <v xml:space="preserve"> </v>
      </c>
      <c r="S26" s="10" t="str">
        <f t="shared" si="7"/>
        <v xml:space="preserve"> </v>
      </c>
      <c r="T26" s="10" t="str">
        <f t="shared" si="7"/>
        <v xml:space="preserve"> </v>
      </c>
      <c r="U26" s="10" t="str">
        <f t="shared" si="7"/>
        <v xml:space="preserve"> </v>
      </c>
      <c r="V26" s="10" t="str">
        <f t="shared" si="7"/>
        <v xml:space="preserve"> </v>
      </c>
      <c r="W26" s="10" t="str">
        <f t="shared" si="7"/>
        <v xml:space="preserve"> </v>
      </c>
      <c r="X26" s="10" t="str">
        <f t="shared" si="7"/>
        <v xml:space="preserve"> </v>
      </c>
      <c r="Y26" s="10" t="str">
        <f t="shared" si="7"/>
        <v xml:space="preserve"> </v>
      </c>
      <c r="Z26" s="10" t="str">
        <f t="shared" si="7"/>
        <v xml:space="preserve"> </v>
      </c>
      <c r="AA26" s="10" t="str">
        <f t="shared" si="7"/>
        <v xml:space="preserve"> </v>
      </c>
      <c r="AB26" s="10" t="str">
        <f t="shared" si="7"/>
        <v xml:space="preserve"> </v>
      </c>
      <c r="AC26" s="10" t="str">
        <f t="shared" si="7"/>
        <v xml:space="preserve"> </v>
      </c>
      <c r="AD26" s="10" t="str">
        <f t="shared" si="7"/>
        <v xml:space="preserve"> </v>
      </c>
      <c r="AE26" s="10" t="str">
        <f t="shared" si="7"/>
        <v xml:space="preserve"> </v>
      </c>
      <c r="AF26" s="10" t="str">
        <f t="shared" si="7"/>
        <v xml:space="preserve"> </v>
      </c>
      <c r="AG26" s="10" t="str">
        <f t="shared" si="7"/>
        <v xml:space="preserve"> </v>
      </c>
      <c r="AH26" s="10" t="str">
        <f t="shared" si="7"/>
        <v xml:space="preserve"> </v>
      </c>
      <c r="AI26" s="10" t="str">
        <f t="shared" si="7"/>
        <v xml:space="preserve"> </v>
      </c>
      <c r="AJ26" s="10" t="str">
        <f t="shared" si="7"/>
        <v xml:space="preserve"> </v>
      </c>
      <c r="AK26" s="10" t="str">
        <f t="shared" si="7"/>
        <v xml:space="preserve"> </v>
      </c>
      <c r="AL26" s="10" t="str">
        <f t="shared" si="7"/>
        <v xml:space="preserve"> </v>
      </c>
      <c r="AM26" s="10" t="str">
        <f t="shared" si="7"/>
        <v xml:space="preserve"> </v>
      </c>
      <c r="AN26" s="10" t="str">
        <f t="shared" si="7"/>
        <v xml:space="preserve"> </v>
      </c>
      <c r="AO26" s="10" t="str">
        <f t="shared" si="7"/>
        <v xml:space="preserve"> </v>
      </c>
      <c r="AP26" s="10" t="str">
        <f t="shared" si="7"/>
        <v xml:space="preserve"> </v>
      </c>
      <c r="AQ26" s="10" t="str">
        <f t="shared" si="7"/>
        <v xml:space="preserve"> </v>
      </c>
      <c r="AR26" s="10" t="str">
        <f t="shared" si="7"/>
        <v xml:space="preserve"> </v>
      </c>
      <c r="AS26" s="10" t="str">
        <f t="shared" si="7"/>
        <v xml:space="preserve"> </v>
      </c>
      <c r="AT26" s="10" t="str">
        <f t="shared" si="7"/>
        <v xml:space="preserve"> </v>
      </c>
      <c r="AU26" s="10" t="str">
        <f t="shared" si="7"/>
        <v xml:space="preserve"> </v>
      </c>
      <c r="AV26" s="10" t="str">
        <f t="shared" si="7"/>
        <v xml:space="preserve"> </v>
      </c>
      <c r="AW26" s="10" t="str">
        <f t="shared" si="7"/>
        <v xml:space="preserve"> </v>
      </c>
      <c r="AX26" s="10" t="str">
        <f t="shared" si="7"/>
        <v xml:space="preserve"> </v>
      </c>
      <c r="AY26" s="10" t="str">
        <f t="shared" si="7"/>
        <v xml:space="preserve"> </v>
      </c>
    </row>
    <row r="27" spans="1:51">
      <c r="A27" s="2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45.75">
      <c r="A28" s="13" t="s">
        <v>71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1:51" ht="72.599999999999994" customHeight="1">
      <c r="A29" s="24" t="s">
        <v>72</v>
      </c>
      <c r="B29" s="10" t="str">
        <f>IF(OR(B28="No"),"600026"," ")</f>
        <v xml:space="preserve"> </v>
      </c>
      <c r="C29" s="10" t="str">
        <f t="shared" ref="C29:AY29" si="8">IF(OR(C28="No"),"600026"," ")</f>
        <v xml:space="preserve"> </v>
      </c>
      <c r="D29" s="10" t="str">
        <f t="shared" si="8"/>
        <v xml:space="preserve"> </v>
      </c>
      <c r="E29" s="10" t="str">
        <f t="shared" si="8"/>
        <v xml:space="preserve"> </v>
      </c>
      <c r="F29" s="10" t="str">
        <f t="shared" si="8"/>
        <v xml:space="preserve"> </v>
      </c>
      <c r="G29" s="10" t="str">
        <f t="shared" si="8"/>
        <v xml:space="preserve"> </v>
      </c>
      <c r="H29" s="10" t="str">
        <f t="shared" si="8"/>
        <v xml:space="preserve"> </v>
      </c>
      <c r="I29" s="10" t="str">
        <f t="shared" si="8"/>
        <v xml:space="preserve"> </v>
      </c>
      <c r="J29" s="10" t="str">
        <f t="shared" si="8"/>
        <v xml:space="preserve"> </v>
      </c>
      <c r="K29" s="10" t="str">
        <f t="shared" si="8"/>
        <v xml:space="preserve"> </v>
      </c>
      <c r="L29" s="10" t="str">
        <f t="shared" si="8"/>
        <v xml:space="preserve"> </v>
      </c>
      <c r="M29" s="10" t="str">
        <f t="shared" si="8"/>
        <v xml:space="preserve"> </v>
      </c>
      <c r="N29" s="10" t="str">
        <f t="shared" si="8"/>
        <v xml:space="preserve"> </v>
      </c>
      <c r="O29" s="10" t="str">
        <f t="shared" si="8"/>
        <v xml:space="preserve"> </v>
      </c>
      <c r="P29" s="10" t="str">
        <f t="shared" si="8"/>
        <v xml:space="preserve"> </v>
      </c>
      <c r="Q29" s="10" t="str">
        <f t="shared" si="8"/>
        <v xml:space="preserve"> </v>
      </c>
      <c r="R29" s="10" t="str">
        <f t="shared" si="8"/>
        <v xml:space="preserve"> </v>
      </c>
      <c r="S29" s="10" t="str">
        <f t="shared" si="8"/>
        <v xml:space="preserve"> </v>
      </c>
      <c r="T29" s="10" t="str">
        <f t="shared" si="8"/>
        <v xml:space="preserve"> </v>
      </c>
      <c r="U29" s="10" t="str">
        <f t="shared" si="8"/>
        <v xml:space="preserve"> </v>
      </c>
      <c r="V29" s="10" t="str">
        <f t="shared" si="8"/>
        <v xml:space="preserve"> </v>
      </c>
      <c r="W29" s="10" t="str">
        <f t="shared" si="8"/>
        <v xml:space="preserve"> </v>
      </c>
      <c r="X29" s="10" t="str">
        <f t="shared" si="8"/>
        <v xml:space="preserve"> </v>
      </c>
      <c r="Y29" s="10" t="str">
        <f t="shared" si="8"/>
        <v xml:space="preserve"> </v>
      </c>
      <c r="Z29" s="10" t="str">
        <f t="shared" si="8"/>
        <v xml:space="preserve"> </v>
      </c>
      <c r="AA29" s="10" t="str">
        <f t="shared" si="8"/>
        <v xml:space="preserve"> </v>
      </c>
      <c r="AB29" s="10" t="str">
        <f t="shared" si="8"/>
        <v xml:space="preserve"> </v>
      </c>
      <c r="AC29" s="10" t="str">
        <f t="shared" si="8"/>
        <v xml:space="preserve"> </v>
      </c>
      <c r="AD29" s="10" t="str">
        <f t="shared" si="8"/>
        <v xml:space="preserve"> </v>
      </c>
      <c r="AE29" s="10" t="str">
        <f t="shared" si="8"/>
        <v xml:space="preserve"> </v>
      </c>
      <c r="AF29" s="10" t="str">
        <f t="shared" si="8"/>
        <v xml:space="preserve"> </v>
      </c>
      <c r="AG29" s="10" t="str">
        <f t="shared" si="8"/>
        <v xml:space="preserve"> </v>
      </c>
      <c r="AH29" s="10" t="str">
        <f t="shared" si="8"/>
        <v xml:space="preserve"> </v>
      </c>
      <c r="AI29" s="10" t="str">
        <f t="shared" si="8"/>
        <v xml:space="preserve"> </v>
      </c>
      <c r="AJ29" s="10" t="str">
        <f t="shared" si="8"/>
        <v xml:space="preserve"> </v>
      </c>
      <c r="AK29" s="10" t="str">
        <f t="shared" si="8"/>
        <v xml:space="preserve"> </v>
      </c>
      <c r="AL29" s="10" t="str">
        <f t="shared" si="8"/>
        <v xml:space="preserve"> </v>
      </c>
      <c r="AM29" s="10" t="str">
        <f t="shared" si="8"/>
        <v xml:space="preserve"> </v>
      </c>
      <c r="AN29" s="10" t="str">
        <f t="shared" si="8"/>
        <v xml:space="preserve"> </v>
      </c>
      <c r="AO29" s="10" t="str">
        <f t="shared" si="8"/>
        <v xml:space="preserve"> </v>
      </c>
      <c r="AP29" s="10" t="str">
        <f t="shared" si="8"/>
        <v xml:space="preserve"> </v>
      </c>
      <c r="AQ29" s="10" t="str">
        <f t="shared" si="8"/>
        <v xml:space="preserve"> </v>
      </c>
      <c r="AR29" s="10" t="str">
        <f t="shared" si="8"/>
        <v xml:space="preserve"> </v>
      </c>
      <c r="AS29" s="10" t="str">
        <f t="shared" si="8"/>
        <v xml:space="preserve"> </v>
      </c>
      <c r="AT29" s="10" t="str">
        <f t="shared" si="8"/>
        <v xml:space="preserve"> </v>
      </c>
      <c r="AU29" s="10" t="str">
        <f t="shared" si="8"/>
        <v xml:space="preserve"> </v>
      </c>
      <c r="AV29" s="10" t="str">
        <f t="shared" si="8"/>
        <v xml:space="preserve"> </v>
      </c>
      <c r="AW29" s="10" t="str">
        <f t="shared" si="8"/>
        <v xml:space="preserve"> </v>
      </c>
      <c r="AX29" s="10" t="str">
        <f t="shared" si="8"/>
        <v xml:space="preserve"> </v>
      </c>
      <c r="AY29" s="10" t="str">
        <f t="shared" si="8"/>
        <v xml:space="preserve"> </v>
      </c>
    </row>
    <row r="30" spans="1:51">
      <c r="A30" s="25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</row>
    <row r="31" spans="1:51" ht="30.75">
      <c r="A31" s="4" t="s">
        <v>73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spans="1:51" ht="43.5" customHeight="1">
      <c r="A32" s="24" t="s">
        <v>74</v>
      </c>
      <c r="B32" s="19" t="str">
        <f>IF(OR(B31="Disagrees"),"400585"," ")</f>
        <v xml:space="preserve"> </v>
      </c>
      <c r="C32" s="19" t="str">
        <f t="shared" ref="C32:AY32" si="9">IF(OR(C31="Disagrees"),"400585"," ")</f>
        <v xml:space="preserve"> </v>
      </c>
      <c r="D32" s="19" t="str">
        <f t="shared" si="9"/>
        <v xml:space="preserve"> </v>
      </c>
      <c r="E32" s="19" t="str">
        <f t="shared" si="9"/>
        <v xml:space="preserve"> </v>
      </c>
      <c r="F32" s="19" t="str">
        <f t="shared" si="9"/>
        <v xml:space="preserve"> </v>
      </c>
      <c r="G32" s="19" t="str">
        <f t="shared" si="9"/>
        <v xml:space="preserve"> </v>
      </c>
      <c r="H32" s="19" t="str">
        <f t="shared" si="9"/>
        <v xml:space="preserve"> </v>
      </c>
      <c r="I32" s="19" t="str">
        <f t="shared" si="9"/>
        <v xml:space="preserve"> </v>
      </c>
      <c r="J32" s="19" t="str">
        <f t="shared" si="9"/>
        <v xml:space="preserve"> </v>
      </c>
      <c r="K32" s="19" t="str">
        <f t="shared" si="9"/>
        <v xml:space="preserve"> </v>
      </c>
      <c r="L32" s="19" t="str">
        <f t="shared" si="9"/>
        <v xml:space="preserve"> </v>
      </c>
      <c r="M32" s="19" t="str">
        <f t="shared" si="9"/>
        <v xml:space="preserve"> </v>
      </c>
      <c r="N32" s="19" t="str">
        <f t="shared" si="9"/>
        <v xml:space="preserve"> </v>
      </c>
      <c r="O32" s="19" t="str">
        <f t="shared" si="9"/>
        <v xml:space="preserve"> </v>
      </c>
      <c r="P32" s="19" t="str">
        <f t="shared" si="9"/>
        <v xml:space="preserve"> </v>
      </c>
      <c r="Q32" s="19" t="str">
        <f t="shared" si="9"/>
        <v xml:space="preserve"> </v>
      </c>
      <c r="R32" s="19" t="str">
        <f t="shared" si="9"/>
        <v xml:space="preserve"> </v>
      </c>
      <c r="S32" s="19" t="str">
        <f t="shared" si="9"/>
        <v xml:space="preserve"> </v>
      </c>
      <c r="T32" s="19" t="str">
        <f t="shared" si="9"/>
        <v xml:space="preserve"> </v>
      </c>
      <c r="U32" s="19" t="str">
        <f t="shared" si="9"/>
        <v xml:space="preserve"> </v>
      </c>
      <c r="V32" s="19" t="str">
        <f t="shared" si="9"/>
        <v xml:space="preserve"> </v>
      </c>
      <c r="W32" s="19" t="str">
        <f t="shared" si="9"/>
        <v xml:space="preserve"> </v>
      </c>
      <c r="X32" s="19" t="str">
        <f t="shared" si="9"/>
        <v xml:space="preserve"> </v>
      </c>
      <c r="Y32" s="19" t="str">
        <f t="shared" si="9"/>
        <v xml:space="preserve"> </v>
      </c>
      <c r="Z32" s="19" t="str">
        <f t="shared" si="9"/>
        <v xml:space="preserve"> </v>
      </c>
      <c r="AA32" s="19" t="str">
        <f t="shared" si="9"/>
        <v xml:space="preserve"> </v>
      </c>
      <c r="AB32" s="19" t="str">
        <f t="shared" si="9"/>
        <v xml:space="preserve"> </v>
      </c>
      <c r="AC32" s="19" t="str">
        <f t="shared" si="9"/>
        <v xml:space="preserve"> </v>
      </c>
      <c r="AD32" s="19" t="str">
        <f t="shared" si="9"/>
        <v xml:space="preserve"> </v>
      </c>
      <c r="AE32" s="19" t="str">
        <f t="shared" si="9"/>
        <v xml:space="preserve"> </v>
      </c>
      <c r="AF32" s="19" t="str">
        <f t="shared" si="9"/>
        <v xml:space="preserve"> </v>
      </c>
      <c r="AG32" s="19" t="str">
        <f t="shared" si="9"/>
        <v xml:space="preserve"> </v>
      </c>
      <c r="AH32" s="19" t="str">
        <f t="shared" si="9"/>
        <v xml:space="preserve"> </v>
      </c>
      <c r="AI32" s="19" t="str">
        <f t="shared" si="9"/>
        <v xml:space="preserve"> </v>
      </c>
      <c r="AJ32" s="19" t="str">
        <f t="shared" si="9"/>
        <v xml:space="preserve"> </v>
      </c>
      <c r="AK32" s="19" t="str">
        <f t="shared" si="9"/>
        <v xml:space="preserve"> </v>
      </c>
      <c r="AL32" s="19" t="str">
        <f t="shared" si="9"/>
        <v xml:space="preserve"> </v>
      </c>
      <c r="AM32" s="19" t="str">
        <f t="shared" si="9"/>
        <v xml:space="preserve"> </v>
      </c>
      <c r="AN32" s="19" t="str">
        <f t="shared" si="9"/>
        <v xml:space="preserve"> </v>
      </c>
      <c r="AO32" s="19" t="str">
        <f t="shared" si="9"/>
        <v xml:space="preserve"> </v>
      </c>
      <c r="AP32" s="19" t="str">
        <f t="shared" si="9"/>
        <v xml:space="preserve"> </v>
      </c>
      <c r="AQ32" s="19" t="str">
        <f t="shared" si="9"/>
        <v xml:space="preserve"> </v>
      </c>
      <c r="AR32" s="19" t="str">
        <f t="shared" si="9"/>
        <v xml:space="preserve"> </v>
      </c>
      <c r="AS32" s="19" t="str">
        <f t="shared" si="9"/>
        <v xml:space="preserve"> </v>
      </c>
      <c r="AT32" s="19" t="str">
        <f t="shared" si="9"/>
        <v xml:space="preserve"> </v>
      </c>
      <c r="AU32" s="19" t="str">
        <f t="shared" si="9"/>
        <v xml:space="preserve"> </v>
      </c>
      <c r="AV32" s="19" t="str">
        <f t="shared" si="9"/>
        <v xml:space="preserve"> </v>
      </c>
      <c r="AW32" s="19" t="str">
        <f t="shared" si="9"/>
        <v xml:space="preserve"> </v>
      </c>
      <c r="AX32" s="19" t="str">
        <f t="shared" si="9"/>
        <v xml:space="preserve"> </v>
      </c>
      <c r="AY32" s="19" t="str">
        <f t="shared" si="9"/>
        <v xml:space="preserve"> </v>
      </c>
    </row>
    <row r="33" spans="1:51" s="18" customFormat="1">
      <c r="A33" s="2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</row>
    <row r="34" spans="1:51" ht="15">
      <c r="A34" s="1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s="18" customFormat="1" ht="15">
      <c r="A35" s="20" t="s">
        <v>75</v>
      </c>
      <c r="B35" s="21" t="s">
        <v>4</v>
      </c>
      <c r="C35" s="21" t="s">
        <v>5</v>
      </c>
      <c r="D35" s="21" t="s">
        <v>6</v>
      </c>
      <c r="E35" s="21" t="s">
        <v>7</v>
      </c>
      <c r="F35" s="21" t="s">
        <v>8</v>
      </c>
      <c r="G35" s="21" t="s">
        <v>9</v>
      </c>
      <c r="H35" s="21" t="s">
        <v>10</v>
      </c>
      <c r="I35" s="21" t="s">
        <v>11</v>
      </c>
      <c r="J35" s="21" t="s">
        <v>12</v>
      </c>
      <c r="K35" s="21" t="s">
        <v>13</v>
      </c>
      <c r="L35" s="21" t="s">
        <v>14</v>
      </c>
      <c r="M35" s="21" t="s">
        <v>15</v>
      </c>
      <c r="N35" s="21" t="s">
        <v>16</v>
      </c>
      <c r="O35" s="21" t="s">
        <v>17</v>
      </c>
      <c r="P35" s="21" t="s">
        <v>18</v>
      </c>
      <c r="Q35" s="21" t="s">
        <v>19</v>
      </c>
      <c r="R35" s="21" t="s">
        <v>20</v>
      </c>
      <c r="S35" s="21" t="s">
        <v>21</v>
      </c>
      <c r="T35" s="21" t="s">
        <v>22</v>
      </c>
      <c r="U35" s="21" t="s">
        <v>23</v>
      </c>
      <c r="V35" s="21" t="s">
        <v>24</v>
      </c>
      <c r="W35" s="21" t="s">
        <v>25</v>
      </c>
      <c r="X35" s="21" t="s">
        <v>26</v>
      </c>
      <c r="Y35" s="21" t="s">
        <v>27</v>
      </c>
      <c r="Z35" s="21" t="s">
        <v>28</v>
      </c>
      <c r="AA35" s="21" t="s">
        <v>29</v>
      </c>
      <c r="AB35" s="21" t="s">
        <v>30</v>
      </c>
      <c r="AC35" s="21" t="s">
        <v>31</v>
      </c>
      <c r="AD35" s="21" t="s">
        <v>32</v>
      </c>
      <c r="AE35" s="21" t="s">
        <v>33</v>
      </c>
      <c r="AF35" s="21" t="s">
        <v>34</v>
      </c>
      <c r="AG35" s="21" t="s">
        <v>35</v>
      </c>
      <c r="AH35" s="21" t="s">
        <v>36</v>
      </c>
      <c r="AI35" s="21" t="s">
        <v>37</v>
      </c>
      <c r="AJ35" s="21" t="s">
        <v>38</v>
      </c>
      <c r="AK35" s="21" t="s">
        <v>39</v>
      </c>
      <c r="AL35" s="21" t="s">
        <v>40</v>
      </c>
      <c r="AM35" s="21" t="s">
        <v>41</v>
      </c>
      <c r="AN35" s="21" t="s">
        <v>42</v>
      </c>
      <c r="AO35" s="21" t="s">
        <v>43</v>
      </c>
      <c r="AP35" s="21" t="s">
        <v>44</v>
      </c>
      <c r="AQ35" s="21" t="s">
        <v>45</v>
      </c>
      <c r="AR35" s="21" t="s">
        <v>46</v>
      </c>
      <c r="AS35" s="21" t="s">
        <v>47</v>
      </c>
      <c r="AT35" s="21" t="s">
        <v>48</v>
      </c>
      <c r="AU35" s="21" t="s">
        <v>49</v>
      </c>
      <c r="AV35" s="21" t="s">
        <v>50</v>
      </c>
      <c r="AW35" s="21" t="s">
        <v>51</v>
      </c>
      <c r="AX35" s="21" t="s">
        <v>52</v>
      </c>
      <c r="AY35" s="21" t="s">
        <v>53</v>
      </c>
    </row>
    <row r="36" spans="1:51">
      <c r="A36" s="3" t="s">
        <v>76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 ht="30.75">
      <c r="A37" s="4" t="s">
        <v>77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</row>
    <row r="38" spans="1:51" ht="43.5" customHeight="1">
      <c r="A38" s="24" t="s">
        <v>78</v>
      </c>
      <c r="B38" s="10" t="str">
        <f>IF(OR(B37="No"),"600025"," ")</f>
        <v xml:space="preserve"> </v>
      </c>
      <c r="C38" s="10" t="str">
        <f t="shared" ref="C38:AY38" si="10">IF(OR(C37="No"),"600025"," ")</f>
        <v xml:space="preserve"> </v>
      </c>
      <c r="D38" s="10" t="str">
        <f t="shared" si="10"/>
        <v xml:space="preserve"> </v>
      </c>
      <c r="E38" s="10" t="str">
        <f t="shared" si="10"/>
        <v xml:space="preserve"> </v>
      </c>
      <c r="F38" s="10" t="str">
        <f t="shared" si="10"/>
        <v xml:space="preserve"> </v>
      </c>
      <c r="G38" s="10" t="str">
        <f t="shared" si="10"/>
        <v xml:space="preserve"> </v>
      </c>
      <c r="H38" s="10" t="str">
        <f t="shared" si="10"/>
        <v xml:space="preserve"> </v>
      </c>
      <c r="I38" s="10" t="str">
        <f t="shared" si="10"/>
        <v xml:space="preserve"> </v>
      </c>
      <c r="J38" s="10" t="str">
        <f t="shared" si="10"/>
        <v xml:space="preserve"> </v>
      </c>
      <c r="K38" s="10" t="str">
        <f t="shared" si="10"/>
        <v xml:space="preserve"> </v>
      </c>
      <c r="L38" s="10" t="str">
        <f t="shared" si="10"/>
        <v xml:space="preserve"> </v>
      </c>
      <c r="M38" s="10" t="str">
        <f t="shared" si="10"/>
        <v xml:space="preserve"> </v>
      </c>
      <c r="N38" s="10" t="str">
        <f t="shared" si="10"/>
        <v xml:space="preserve"> </v>
      </c>
      <c r="O38" s="10" t="str">
        <f t="shared" si="10"/>
        <v xml:space="preserve"> </v>
      </c>
      <c r="P38" s="10" t="str">
        <f t="shared" si="10"/>
        <v xml:space="preserve"> </v>
      </c>
      <c r="Q38" s="10" t="str">
        <f t="shared" si="10"/>
        <v xml:space="preserve"> </v>
      </c>
      <c r="R38" s="10" t="str">
        <f t="shared" si="10"/>
        <v xml:space="preserve"> </v>
      </c>
      <c r="S38" s="10" t="str">
        <f t="shared" si="10"/>
        <v xml:space="preserve"> </v>
      </c>
      <c r="T38" s="10" t="str">
        <f t="shared" si="10"/>
        <v xml:space="preserve"> </v>
      </c>
      <c r="U38" s="10" t="str">
        <f t="shared" si="10"/>
        <v xml:space="preserve"> </v>
      </c>
      <c r="V38" s="10" t="str">
        <f t="shared" si="10"/>
        <v xml:space="preserve"> </v>
      </c>
      <c r="W38" s="10" t="str">
        <f t="shared" si="10"/>
        <v xml:space="preserve"> </v>
      </c>
      <c r="X38" s="10" t="str">
        <f t="shared" si="10"/>
        <v xml:space="preserve"> </v>
      </c>
      <c r="Y38" s="10" t="str">
        <f t="shared" si="10"/>
        <v xml:space="preserve"> </v>
      </c>
      <c r="Z38" s="10" t="str">
        <f t="shared" si="10"/>
        <v xml:space="preserve"> </v>
      </c>
      <c r="AA38" s="10" t="str">
        <f t="shared" si="10"/>
        <v xml:space="preserve"> </v>
      </c>
      <c r="AB38" s="10" t="str">
        <f t="shared" si="10"/>
        <v xml:space="preserve"> </v>
      </c>
      <c r="AC38" s="10" t="str">
        <f t="shared" si="10"/>
        <v xml:space="preserve"> </v>
      </c>
      <c r="AD38" s="10" t="str">
        <f t="shared" si="10"/>
        <v xml:space="preserve"> </v>
      </c>
      <c r="AE38" s="10" t="str">
        <f t="shared" si="10"/>
        <v xml:space="preserve"> </v>
      </c>
      <c r="AF38" s="10" t="str">
        <f t="shared" si="10"/>
        <v xml:space="preserve"> </v>
      </c>
      <c r="AG38" s="10" t="str">
        <f t="shared" si="10"/>
        <v xml:space="preserve"> </v>
      </c>
      <c r="AH38" s="10" t="str">
        <f t="shared" si="10"/>
        <v xml:space="preserve"> </v>
      </c>
      <c r="AI38" s="10" t="str">
        <f t="shared" si="10"/>
        <v xml:space="preserve"> </v>
      </c>
      <c r="AJ38" s="10" t="str">
        <f t="shared" si="10"/>
        <v xml:space="preserve"> </v>
      </c>
      <c r="AK38" s="10" t="str">
        <f t="shared" si="10"/>
        <v xml:space="preserve"> </v>
      </c>
      <c r="AL38" s="10" t="str">
        <f t="shared" si="10"/>
        <v xml:space="preserve"> </v>
      </c>
      <c r="AM38" s="10" t="str">
        <f t="shared" si="10"/>
        <v xml:space="preserve"> </v>
      </c>
      <c r="AN38" s="10" t="str">
        <f t="shared" si="10"/>
        <v xml:space="preserve"> </v>
      </c>
      <c r="AO38" s="10" t="str">
        <f t="shared" si="10"/>
        <v xml:space="preserve"> </v>
      </c>
      <c r="AP38" s="10" t="str">
        <f t="shared" si="10"/>
        <v xml:space="preserve"> </v>
      </c>
      <c r="AQ38" s="10" t="str">
        <f t="shared" si="10"/>
        <v xml:space="preserve"> </v>
      </c>
      <c r="AR38" s="10" t="str">
        <f t="shared" si="10"/>
        <v xml:space="preserve"> </v>
      </c>
      <c r="AS38" s="10" t="str">
        <f t="shared" si="10"/>
        <v xml:space="preserve"> </v>
      </c>
      <c r="AT38" s="10" t="str">
        <f t="shared" si="10"/>
        <v xml:space="preserve"> </v>
      </c>
      <c r="AU38" s="10" t="str">
        <f t="shared" si="10"/>
        <v xml:space="preserve"> </v>
      </c>
      <c r="AV38" s="10" t="str">
        <f t="shared" si="10"/>
        <v xml:space="preserve"> </v>
      </c>
      <c r="AW38" s="10" t="str">
        <f t="shared" si="10"/>
        <v xml:space="preserve"> </v>
      </c>
      <c r="AX38" s="10" t="str">
        <f t="shared" si="10"/>
        <v xml:space="preserve"> </v>
      </c>
      <c r="AY38" s="10" t="str">
        <f t="shared" si="10"/>
        <v xml:space="preserve"> </v>
      </c>
    </row>
    <row r="39" spans="1:51">
      <c r="A39" s="25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</row>
    <row r="40" spans="1:51" ht="15">
      <c r="A40" s="4" t="s">
        <v>79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</row>
    <row r="41" spans="1:51" ht="121.5">
      <c r="A41" s="23" t="s">
        <v>80</v>
      </c>
      <c r="B41" s="10" t="str">
        <f>IF(OR(B40="No"),"410517"," ")</f>
        <v xml:space="preserve"> </v>
      </c>
      <c r="C41" s="10" t="str">
        <f t="shared" ref="C41:AY41" si="11">IF(OR(C40="No"),"410517"," ")</f>
        <v xml:space="preserve"> </v>
      </c>
      <c r="D41" s="10" t="str">
        <f t="shared" si="11"/>
        <v xml:space="preserve"> </v>
      </c>
      <c r="E41" s="10" t="str">
        <f t="shared" si="11"/>
        <v xml:space="preserve"> </v>
      </c>
      <c r="F41" s="10" t="str">
        <f t="shared" si="11"/>
        <v xml:space="preserve"> </v>
      </c>
      <c r="G41" s="10" t="str">
        <f t="shared" si="11"/>
        <v xml:space="preserve"> </v>
      </c>
      <c r="H41" s="10" t="str">
        <f t="shared" si="11"/>
        <v xml:space="preserve"> </v>
      </c>
      <c r="I41" s="10" t="str">
        <f t="shared" si="11"/>
        <v xml:space="preserve"> </v>
      </c>
      <c r="J41" s="10" t="str">
        <f t="shared" si="11"/>
        <v xml:space="preserve"> </v>
      </c>
      <c r="K41" s="10" t="str">
        <f t="shared" si="11"/>
        <v xml:space="preserve"> </v>
      </c>
      <c r="L41" s="10" t="str">
        <f t="shared" si="11"/>
        <v xml:space="preserve"> </v>
      </c>
      <c r="M41" s="10" t="str">
        <f t="shared" si="11"/>
        <v xml:space="preserve"> </v>
      </c>
      <c r="N41" s="10" t="str">
        <f t="shared" si="11"/>
        <v xml:space="preserve"> </v>
      </c>
      <c r="O41" s="10" t="str">
        <f t="shared" si="11"/>
        <v xml:space="preserve"> </v>
      </c>
      <c r="P41" s="10" t="str">
        <f t="shared" si="11"/>
        <v xml:space="preserve"> </v>
      </c>
      <c r="Q41" s="10" t="str">
        <f t="shared" si="11"/>
        <v xml:space="preserve"> </v>
      </c>
      <c r="R41" s="10" t="str">
        <f t="shared" si="11"/>
        <v xml:space="preserve"> </v>
      </c>
      <c r="S41" s="10" t="str">
        <f t="shared" si="11"/>
        <v xml:space="preserve"> </v>
      </c>
      <c r="T41" s="10" t="str">
        <f t="shared" si="11"/>
        <v xml:space="preserve"> </v>
      </c>
      <c r="U41" s="10" t="str">
        <f t="shared" si="11"/>
        <v xml:space="preserve"> </v>
      </c>
      <c r="V41" s="10" t="str">
        <f t="shared" si="11"/>
        <v xml:space="preserve"> </v>
      </c>
      <c r="W41" s="10" t="str">
        <f t="shared" si="11"/>
        <v xml:space="preserve"> </v>
      </c>
      <c r="X41" s="10" t="str">
        <f t="shared" si="11"/>
        <v xml:space="preserve"> </v>
      </c>
      <c r="Y41" s="10" t="str">
        <f t="shared" si="11"/>
        <v xml:space="preserve"> </v>
      </c>
      <c r="Z41" s="10" t="str">
        <f t="shared" si="11"/>
        <v xml:space="preserve"> </v>
      </c>
      <c r="AA41" s="10" t="str">
        <f t="shared" si="11"/>
        <v xml:space="preserve"> </v>
      </c>
      <c r="AB41" s="10" t="str">
        <f t="shared" si="11"/>
        <v xml:space="preserve"> </v>
      </c>
      <c r="AC41" s="10" t="str">
        <f t="shared" si="11"/>
        <v xml:space="preserve"> </v>
      </c>
      <c r="AD41" s="10" t="str">
        <f t="shared" si="11"/>
        <v xml:space="preserve"> </v>
      </c>
      <c r="AE41" s="10" t="str">
        <f t="shared" si="11"/>
        <v xml:space="preserve"> </v>
      </c>
      <c r="AF41" s="10" t="str">
        <f t="shared" si="11"/>
        <v xml:space="preserve"> </v>
      </c>
      <c r="AG41" s="10" t="str">
        <f t="shared" si="11"/>
        <v xml:space="preserve"> </v>
      </c>
      <c r="AH41" s="10" t="str">
        <f t="shared" si="11"/>
        <v xml:space="preserve"> </v>
      </c>
      <c r="AI41" s="10" t="str">
        <f t="shared" si="11"/>
        <v xml:space="preserve"> </v>
      </c>
      <c r="AJ41" s="10" t="str">
        <f t="shared" si="11"/>
        <v xml:space="preserve"> </v>
      </c>
      <c r="AK41" s="10" t="str">
        <f t="shared" si="11"/>
        <v xml:space="preserve"> </v>
      </c>
      <c r="AL41" s="10" t="str">
        <f t="shared" si="11"/>
        <v xml:space="preserve"> </v>
      </c>
      <c r="AM41" s="10" t="str">
        <f t="shared" si="11"/>
        <v xml:space="preserve"> </v>
      </c>
      <c r="AN41" s="10" t="str">
        <f t="shared" si="11"/>
        <v xml:space="preserve"> </v>
      </c>
      <c r="AO41" s="10" t="str">
        <f t="shared" si="11"/>
        <v xml:space="preserve"> </v>
      </c>
      <c r="AP41" s="10" t="str">
        <f t="shared" si="11"/>
        <v xml:space="preserve"> </v>
      </c>
      <c r="AQ41" s="10" t="str">
        <f t="shared" si="11"/>
        <v xml:space="preserve"> </v>
      </c>
      <c r="AR41" s="10" t="str">
        <f t="shared" si="11"/>
        <v xml:space="preserve"> </v>
      </c>
      <c r="AS41" s="10" t="str">
        <f t="shared" si="11"/>
        <v xml:space="preserve"> </v>
      </c>
      <c r="AT41" s="10" t="str">
        <f t="shared" si="11"/>
        <v xml:space="preserve"> </v>
      </c>
      <c r="AU41" s="10" t="str">
        <f t="shared" si="11"/>
        <v xml:space="preserve"> </v>
      </c>
      <c r="AV41" s="10" t="str">
        <f t="shared" si="11"/>
        <v xml:space="preserve"> </v>
      </c>
      <c r="AW41" s="10" t="str">
        <f t="shared" si="11"/>
        <v xml:space="preserve"> </v>
      </c>
      <c r="AX41" s="10" t="str">
        <f t="shared" si="11"/>
        <v xml:space="preserve"> </v>
      </c>
      <c r="AY41" s="10" t="str">
        <f t="shared" si="11"/>
        <v xml:space="preserve"> </v>
      </c>
    </row>
    <row r="42" spans="1:51" ht="30.75">
      <c r="A42" s="4" t="s">
        <v>81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ht="45.75">
      <c r="A43" s="23" t="s">
        <v>82</v>
      </c>
      <c r="B43" s="10" t="str">
        <f>IF(OR(B42="Disagrees"),"400470"," ")</f>
        <v xml:space="preserve"> </v>
      </c>
      <c r="C43" s="10" t="str">
        <f t="shared" ref="C43:AY43" si="12">IF(OR(C42="Disagrees"),"400470"," ")</f>
        <v xml:space="preserve"> </v>
      </c>
      <c r="D43" s="10" t="str">
        <f t="shared" si="12"/>
        <v xml:space="preserve"> </v>
      </c>
      <c r="E43" s="10" t="str">
        <f t="shared" si="12"/>
        <v xml:space="preserve"> </v>
      </c>
      <c r="F43" s="10" t="str">
        <f t="shared" si="12"/>
        <v xml:space="preserve"> </v>
      </c>
      <c r="G43" s="10" t="str">
        <f t="shared" si="12"/>
        <v xml:space="preserve"> </v>
      </c>
      <c r="H43" s="10" t="str">
        <f t="shared" si="12"/>
        <v xml:space="preserve"> </v>
      </c>
      <c r="I43" s="10" t="str">
        <f t="shared" si="12"/>
        <v xml:space="preserve"> </v>
      </c>
      <c r="J43" s="10" t="str">
        <f t="shared" si="12"/>
        <v xml:space="preserve"> </v>
      </c>
      <c r="K43" s="10" t="str">
        <f t="shared" si="12"/>
        <v xml:space="preserve"> </v>
      </c>
      <c r="L43" s="10" t="str">
        <f t="shared" si="12"/>
        <v xml:space="preserve"> </v>
      </c>
      <c r="M43" s="10" t="str">
        <f t="shared" si="12"/>
        <v xml:space="preserve"> </v>
      </c>
      <c r="N43" s="10" t="str">
        <f t="shared" si="12"/>
        <v xml:space="preserve"> </v>
      </c>
      <c r="O43" s="10" t="str">
        <f t="shared" si="12"/>
        <v xml:space="preserve"> </v>
      </c>
      <c r="P43" s="10" t="str">
        <f t="shared" si="12"/>
        <v xml:space="preserve"> </v>
      </c>
      <c r="Q43" s="10" t="str">
        <f t="shared" si="12"/>
        <v xml:space="preserve"> </v>
      </c>
      <c r="R43" s="10" t="str">
        <f t="shared" si="12"/>
        <v xml:space="preserve"> </v>
      </c>
      <c r="S43" s="10" t="str">
        <f t="shared" si="12"/>
        <v xml:space="preserve"> </v>
      </c>
      <c r="T43" s="10" t="str">
        <f t="shared" si="12"/>
        <v xml:space="preserve"> </v>
      </c>
      <c r="U43" s="10" t="str">
        <f t="shared" si="12"/>
        <v xml:space="preserve"> </v>
      </c>
      <c r="V43" s="10" t="str">
        <f t="shared" si="12"/>
        <v xml:space="preserve"> </v>
      </c>
      <c r="W43" s="10" t="str">
        <f t="shared" si="12"/>
        <v xml:space="preserve"> </v>
      </c>
      <c r="X43" s="10" t="str">
        <f t="shared" si="12"/>
        <v xml:space="preserve"> </v>
      </c>
      <c r="Y43" s="10" t="str">
        <f t="shared" si="12"/>
        <v xml:space="preserve"> </v>
      </c>
      <c r="Z43" s="10" t="str">
        <f t="shared" si="12"/>
        <v xml:space="preserve"> </v>
      </c>
      <c r="AA43" s="10" t="str">
        <f t="shared" si="12"/>
        <v xml:space="preserve"> </v>
      </c>
      <c r="AB43" s="10" t="str">
        <f t="shared" si="12"/>
        <v xml:space="preserve"> </v>
      </c>
      <c r="AC43" s="10" t="str">
        <f t="shared" si="12"/>
        <v xml:space="preserve"> </v>
      </c>
      <c r="AD43" s="10" t="str">
        <f t="shared" si="12"/>
        <v xml:space="preserve"> </v>
      </c>
      <c r="AE43" s="10" t="str">
        <f t="shared" si="12"/>
        <v xml:space="preserve"> </v>
      </c>
      <c r="AF43" s="10" t="str">
        <f t="shared" si="12"/>
        <v xml:space="preserve"> </v>
      </c>
      <c r="AG43" s="10" t="str">
        <f t="shared" si="12"/>
        <v xml:space="preserve"> </v>
      </c>
      <c r="AH43" s="10" t="str">
        <f t="shared" si="12"/>
        <v xml:space="preserve"> </v>
      </c>
      <c r="AI43" s="10" t="str">
        <f t="shared" si="12"/>
        <v xml:space="preserve"> </v>
      </c>
      <c r="AJ43" s="10" t="str">
        <f t="shared" si="12"/>
        <v xml:space="preserve"> </v>
      </c>
      <c r="AK43" s="10" t="str">
        <f t="shared" si="12"/>
        <v xml:space="preserve"> </v>
      </c>
      <c r="AL43" s="10" t="str">
        <f t="shared" si="12"/>
        <v xml:space="preserve"> </v>
      </c>
      <c r="AM43" s="10" t="str">
        <f t="shared" si="12"/>
        <v xml:space="preserve"> </v>
      </c>
      <c r="AN43" s="10" t="str">
        <f t="shared" si="12"/>
        <v xml:space="preserve"> </v>
      </c>
      <c r="AO43" s="10" t="str">
        <f t="shared" si="12"/>
        <v xml:space="preserve"> </v>
      </c>
      <c r="AP43" s="10" t="str">
        <f t="shared" si="12"/>
        <v xml:space="preserve"> </v>
      </c>
      <c r="AQ43" s="10" t="str">
        <f t="shared" si="12"/>
        <v xml:space="preserve"> </v>
      </c>
      <c r="AR43" s="10" t="str">
        <f t="shared" si="12"/>
        <v xml:space="preserve"> </v>
      </c>
      <c r="AS43" s="10" t="str">
        <f t="shared" si="12"/>
        <v xml:space="preserve"> </v>
      </c>
      <c r="AT43" s="10" t="str">
        <f t="shared" si="12"/>
        <v xml:space="preserve"> </v>
      </c>
      <c r="AU43" s="10" t="str">
        <f t="shared" si="12"/>
        <v xml:space="preserve"> </v>
      </c>
      <c r="AV43" s="10" t="str">
        <f t="shared" si="12"/>
        <v xml:space="preserve"> </v>
      </c>
      <c r="AW43" s="10" t="str">
        <f t="shared" si="12"/>
        <v xml:space="preserve"> </v>
      </c>
      <c r="AX43" s="10" t="str">
        <f t="shared" si="12"/>
        <v xml:space="preserve"> </v>
      </c>
      <c r="AY43" s="10" t="str">
        <f t="shared" si="12"/>
        <v xml:space="preserve"> </v>
      </c>
    </row>
    <row r="44" spans="1:51">
      <c r="A44" s="4" t="s">
        <v>83</v>
      </c>
    </row>
    <row r="45" spans="1:51" ht="15">
      <c r="A45" s="2" t="s">
        <v>84</v>
      </c>
      <c r="B45" s="16" t="s">
        <v>4</v>
      </c>
      <c r="C45" s="16" t="s">
        <v>5</v>
      </c>
      <c r="D45" s="16" t="s">
        <v>6</v>
      </c>
      <c r="E45" s="16" t="s">
        <v>7</v>
      </c>
      <c r="F45" s="16" t="s">
        <v>8</v>
      </c>
      <c r="G45" s="16" t="s">
        <v>9</v>
      </c>
      <c r="H45" s="16" t="s">
        <v>10</v>
      </c>
      <c r="I45" s="16" t="s">
        <v>11</v>
      </c>
      <c r="J45" s="16" t="s">
        <v>12</v>
      </c>
      <c r="K45" s="16" t="s">
        <v>13</v>
      </c>
      <c r="L45" s="16" t="s">
        <v>14</v>
      </c>
      <c r="M45" s="16" t="s">
        <v>15</v>
      </c>
      <c r="N45" s="16" t="s">
        <v>16</v>
      </c>
      <c r="O45" s="16" t="s">
        <v>17</v>
      </c>
      <c r="P45" s="16" t="s">
        <v>18</v>
      </c>
      <c r="Q45" s="16" t="s">
        <v>19</v>
      </c>
      <c r="R45" s="16" t="s">
        <v>20</v>
      </c>
      <c r="S45" s="16" t="s">
        <v>21</v>
      </c>
      <c r="T45" s="16" t="s">
        <v>22</v>
      </c>
      <c r="U45" s="16" t="s">
        <v>23</v>
      </c>
      <c r="V45" s="16" t="s">
        <v>24</v>
      </c>
      <c r="W45" s="16" t="s">
        <v>25</v>
      </c>
      <c r="X45" s="16" t="s">
        <v>26</v>
      </c>
      <c r="Y45" s="16" t="s">
        <v>27</v>
      </c>
      <c r="Z45" s="16" t="s">
        <v>28</v>
      </c>
      <c r="AA45" s="16" t="s">
        <v>29</v>
      </c>
      <c r="AB45" s="16" t="s">
        <v>30</v>
      </c>
      <c r="AC45" s="16" t="s">
        <v>31</v>
      </c>
      <c r="AD45" s="16" t="s">
        <v>32</v>
      </c>
      <c r="AE45" s="16" t="s">
        <v>33</v>
      </c>
      <c r="AF45" s="16" t="s">
        <v>34</v>
      </c>
      <c r="AG45" s="16" t="s">
        <v>35</v>
      </c>
      <c r="AH45" s="16" t="s">
        <v>36</v>
      </c>
      <c r="AI45" s="16" t="s">
        <v>37</v>
      </c>
      <c r="AJ45" s="16" t="s">
        <v>38</v>
      </c>
      <c r="AK45" s="16" t="s">
        <v>39</v>
      </c>
      <c r="AL45" s="16" t="s">
        <v>40</v>
      </c>
      <c r="AM45" s="16" t="s">
        <v>41</v>
      </c>
      <c r="AN45" s="16" t="s">
        <v>42</v>
      </c>
      <c r="AO45" s="16" t="s">
        <v>43</v>
      </c>
      <c r="AP45" s="16" t="s">
        <v>44</v>
      </c>
      <c r="AQ45" s="16" t="s">
        <v>45</v>
      </c>
      <c r="AR45" s="16" t="s">
        <v>46</v>
      </c>
      <c r="AS45" s="16" t="s">
        <v>47</v>
      </c>
      <c r="AT45" s="16" t="s">
        <v>48</v>
      </c>
      <c r="AU45" s="16" t="s">
        <v>49</v>
      </c>
      <c r="AV45" s="16" t="s">
        <v>50</v>
      </c>
      <c r="AW45" s="16" t="s">
        <v>51</v>
      </c>
      <c r="AX45" s="16" t="s">
        <v>52</v>
      </c>
      <c r="AY45" s="16" t="s">
        <v>53</v>
      </c>
    </row>
    <row r="46" spans="1:51">
      <c r="A46" s="4" t="s">
        <v>85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</row>
    <row r="47" spans="1:51" ht="15">
      <c r="A47" s="4" t="s">
        <v>86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 spans="1:51" ht="43.5" customHeight="1">
      <c r="A48" s="24" t="s">
        <v>87</v>
      </c>
      <c r="B48" s="10" t="str">
        <f>IF(OR(B47="No"),"600025"," ")</f>
        <v xml:space="preserve"> </v>
      </c>
      <c r="C48" s="10" t="str">
        <f t="shared" ref="C48:AY48" si="13">IF(OR(C47="No"),"600025"," ")</f>
        <v xml:space="preserve"> </v>
      </c>
      <c r="D48" s="10" t="str">
        <f t="shared" si="13"/>
        <v xml:space="preserve"> </v>
      </c>
      <c r="E48" s="10" t="str">
        <f t="shared" si="13"/>
        <v xml:space="preserve"> </v>
      </c>
      <c r="F48" s="10" t="str">
        <f t="shared" si="13"/>
        <v xml:space="preserve"> </v>
      </c>
      <c r="G48" s="10" t="str">
        <f t="shared" si="13"/>
        <v xml:space="preserve"> </v>
      </c>
      <c r="H48" s="10" t="str">
        <f t="shared" si="13"/>
        <v xml:space="preserve"> </v>
      </c>
      <c r="I48" s="10" t="str">
        <f t="shared" si="13"/>
        <v xml:space="preserve"> </v>
      </c>
      <c r="J48" s="10" t="str">
        <f t="shared" si="13"/>
        <v xml:space="preserve"> </v>
      </c>
      <c r="K48" s="10" t="str">
        <f t="shared" si="13"/>
        <v xml:space="preserve"> </v>
      </c>
      <c r="L48" s="10" t="str">
        <f t="shared" si="13"/>
        <v xml:space="preserve"> </v>
      </c>
      <c r="M48" s="10" t="str">
        <f t="shared" si="13"/>
        <v xml:space="preserve"> </v>
      </c>
      <c r="N48" s="10" t="str">
        <f t="shared" si="13"/>
        <v xml:space="preserve"> </v>
      </c>
      <c r="O48" s="10" t="str">
        <f t="shared" si="13"/>
        <v xml:space="preserve"> </v>
      </c>
      <c r="P48" s="10" t="str">
        <f t="shared" si="13"/>
        <v xml:space="preserve"> </v>
      </c>
      <c r="Q48" s="10" t="str">
        <f t="shared" si="13"/>
        <v xml:space="preserve"> </v>
      </c>
      <c r="R48" s="10" t="str">
        <f t="shared" si="13"/>
        <v xml:space="preserve"> </v>
      </c>
      <c r="S48" s="10" t="str">
        <f t="shared" si="13"/>
        <v xml:space="preserve"> </v>
      </c>
      <c r="T48" s="10" t="str">
        <f t="shared" si="13"/>
        <v xml:space="preserve"> </v>
      </c>
      <c r="U48" s="10" t="str">
        <f t="shared" si="13"/>
        <v xml:space="preserve"> </v>
      </c>
      <c r="V48" s="10" t="str">
        <f t="shared" si="13"/>
        <v xml:space="preserve"> </v>
      </c>
      <c r="W48" s="10" t="str">
        <f t="shared" si="13"/>
        <v xml:space="preserve"> </v>
      </c>
      <c r="X48" s="10" t="str">
        <f t="shared" si="13"/>
        <v xml:space="preserve"> </v>
      </c>
      <c r="Y48" s="10" t="str">
        <f t="shared" si="13"/>
        <v xml:space="preserve"> </v>
      </c>
      <c r="Z48" s="10" t="str">
        <f t="shared" si="13"/>
        <v xml:space="preserve"> </v>
      </c>
      <c r="AA48" s="10" t="str">
        <f t="shared" si="13"/>
        <v xml:space="preserve"> </v>
      </c>
      <c r="AB48" s="10" t="str">
        <f t="shared" si="13"/>
        <v xml:space="preserve"> </v>
      </c>
      <c r="AC48" s="10" t="str">
        <f t="shared" si="13"/>
        <v xml:space="preserve"> </v>
      </c>
      <c r="AD48" s="10" t="str">
        <f t="shared" si="13"/>
        <v xml:space="preserve"> </v>
      </c>
      <c r="AE48" s="10" t="str">
        <f t="shared" si="13"/>
        <v xml:space="preserve"> </v>
      </c>
      <c r="AF48" s="10" t="str">
        <f t="shared" si="13"/>
        <v xml:space="preserve"> </v>
      </c>
      <c r="AG48" s="10" t="str">
        <f t="shared" si="13"/>
        <v xml:space="preserve"> </v>
      </c>
      <c r="AH48" s="10" t="str">
        <f t="shared" si="13"/>
        <v xml:space="preserve"> </v>
      </c>
      <c r="AI48" s="10" t="str">
        <f t="shared" si="13"/>
        <v xml:space="preserve"> </v>
      </c>
      <c r="AJ48" s="10" t="str">
        <f t="shared" si="13"/>
        <v xml:space="preserve"> </v>
      </c>
      <c r="AK48" s="10" t="str">
        <f t="shared" si="13"/>
        <v xml:space="preserve"> </v>
      </c>
      <c r="AL48" s="10" t="str">
        <f t="shared" si="13"/>
        <v xml:space="preserve"> </v>
      </c>
      <c r="AM48" s="10" t="str">
        <f t="shared" si="13"/>
        <v xml:space="preserve"> </v>
      </c>
      <c r="AN48" s="10" t="str">
        <f t="shared" si="13"/>
        <v xml:space="preserve"> </v>
      </c>
      <c r="AO48" s="10" t="str">
        <f t="shared" si="13"/>
        <v xml:space="preserve"> </v>
      </c>
      <c r="AP48" s="10" t="str">
        <f t="shared" si="13"/>
        <v xml:space="preserve"> </v>
      </c>
      <c r="AQ48" s="10" t="str">
        <f t="shared" si="13"/>
        <v xml:space="preserve"> </v>
      </c>
      <c r="AR48" s="10" t="str">
        <f t="shared" si="13"/>
        <v xml:space="preserve"> </v>
      </c>
      <c r="AS48" s="10" t="str">
        <f t="shared" si="13"/>
        <v xml:space="preserve"> </v>
      </c>
      <c r="AT48" s="10" t="str">
        <f t="shared" si="13"/>
        <v xml:space="preserve"> </v>
      </c>
      <c r="AU48" s="10" t="str">
        <f t="shared" si="13"/>
        <v xml:space="preserve"> </v>
      </c>
      <c r="AV48" s="10" t="str">
        <f t="shared" si="13"/>
        <v xml:space="preserve"> </v>
      </c>
      <c r="AW48" s="10" t="str">
        <f t="shared" si="13"/>
        <v xml:space="preserve"> </v>
      </c>
      <c r="AX48" s="10" t="str">
        <f t="shared" si="13"/>
        <v xml:space="preserve"> </v>
      </c>
      <c r="AY48" s="10" t="str">
        <f t="shared" si="13"/>
        <v xml:space="preserve"> </v>
      </c>
    </row>
    <row r="49" spans="1:51">
      <c r="A49" s="2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5">
      <c r="A50" s="4" t="s">
        <v>88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</row>
    <row r="51" spans="1:51" ht="15">
      <c r="A51" s="4" t="s">
        <v>89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</row>
    <row r="52" spans="1:51" ht="15">
      <c r="A52" s="4" t="s">
        <v>90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</row>
    <row r="53" spans="1:51" ht="15">
      <c r="A53" s="4" t="s">
        <v>91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</row>
    <row r="54" spans="1:51" ht="45.75">
      <c r="A54" s="23" t="s">
        <v>92</v>
      </c>
      <c r="B54" s="10" t="str">
        <f>IF(OR(B53="Yes"),"510454"," ")</f>
        <v xml:space="preserve"> </v>
      </c>
      <c r="C54" s="10" t="str">
        <f t="shared" ref="C54:AY54" si="14">IF(OR(C53="Yes"),"510454"," ")</f>
        <v xml:space="preserve"> </v>
      </c>
      <c r="D54" s="10" t="str">
        <f t="shared" si="14"/>
        <v xml:space="preserve"> </v>
      </c>
      <c r="E54" s="10" t="str">
        <f t="shared" si="14"/>
        <v xml:space="preserve"> </v>
      </c>
      <c r="F54" s="10" t="str">
        <f t="shared" si="14"/>
        <v xml:space="preserve"> </v>
      </c>
      <c r="G54" s="10" t="str">
        <f t="shared" si="14"/>
        <v xml:space="preserve"> </v>
      </c>
      <c r="H54" s="10" t="str">
        <f t="shared" si="14"/>
        <v xml:space="preserve"> </v>
      </c>
      <c r="I54" s="10" t="str">
        <f t="shared" si="14"/>
        <v xml:space="preserve"> </v>
      </c>
      <c r="J54" s="10" t="str">
        <f t="shared" si="14"/>
        <v xml:space="preserve"> </v>
      </c>
      <c r="K54" s="10" t="str">
        <f t="shared" si="14"/>
        <v xml:space="preserve"> </v>
      </c>
      <c r="L54" s="10" t="str">
        <f t="shared" si="14"/>
        <v xml:space="preserve"> </v>
      </c>
      <c r="M54" s="10" t="str">
        <f t="shared" si="14"/>
        <v xml:space="preserve"> </v>
      </c>
      <c r="N54" s="10" t="str">
        <f t="shared" si="14"/>
        <v xml:space="preserve"> </v>
      </c>
      <c r="O54" s="10" t="str">
        <f t="shared" si="14"/>
        <v xml:space="preserve"> </v>
      </c>
      <c r="P54" s="10" t="str">
        <f t="shared" si="14"/>
        <v xml:space="preserve"> </v>
      </c>
      <c r="Q54" s="10" t="str">
        <f t="shared" si="14"/>
        <v xml:space="preserve"> </v>
      </c>
      <c r="R54" s="10" t="str">
        <f t="shared" si="14"/>
        <v xml:space="preserve"> </v>
      </c>
      <c r="S54" s="10" t="str">
        <f t="shared" si="14"/>
        <v xml:space="preserve"> </v>
      </c>
      <c r="T54" s="10" t="str">
        <f t="shared" si="14"/>
        <v xml:space="preserve"> </v>
      </c>
      <c r="U54" s="10" t="str">
        <f t="shared" si="14"/>
        <v xml:space="preserve"> </v>
      </c>
      <c r="V54" s="10" t="str">
        <f t="shared" si="14"/>
        <v xml:space="preserve"> </v>
      </c>
      <c r="W54" s="10" t="str">
        <f t="shared" si="14"/>
        <v xml:space="preserve"> </v>
      </c>
      <c r="X54" s="10" t="str">
        <f t="shared" si="14"/>
        <v xml:space="preserve"> </v>
      </c>
      <c r="Y54" s="10" t="str">
        <f t="shared" si="14"/>
        <v xml:space="preserve"> </v>
      </c>
      <c r="Z54" s="10" t="str">
        <f t="shared" si="14"/>
        <v xml:space="preserve"> </v>
      </c>
      <c r="AA54" s="10" t="str">
        <f t="shared" si="14"/>
        <v xml:space="preserve"> </v>
      </c>
      <c r="AB54" s="10" t="str">
        <f t="shared" si="14"/>
        <v xml:space="preserve"> </v>
      </c>
      <c r="AC54" s="10" t="str">
        <f t="shared" si="14"/>
        <v xml:space="preserve"> </v>
      </c>
      <c r="AD54" s="10" t="str">
        <f t="shared" si="14"/>
        <v xml:space="preserve"> </v>
      </c>
      <c r="AE54" s="10" t="str">
        <f t="shared" si="14"/>
        <v xml:space="preserve"> </v>
      </c>
      <c r="AF54" s="10" t="str">
        <f t="shared" si="14"/>
        <v xml:space="preserve"> </v>
      </c>
      <c r="AG54" s="10" t="str">
        <f t="shared" si="14"/>
        <v xml:space="preserve"> </v>
      </c>
      <c r="AH54" s="10" t="str">
        <f t="shared" si="14"/>
        <v xml:space="preserve"> </v>
      </c>
      <c r="AI54" s="10" t="str">
        <f t="shared" si="14"/>
        <v xml:space="preserve"> </v>
      </c>
      <c r="AJ54" s="10" t="str">
        <f t="shared" si="14"/>
        <v xml:space="preserve"> </v>
      </c>
      <c r="AK54" s="10" t="str">
        <f t="shared" si="14"/>
        <v xml:space="preserve"> </v>
      </c>
      <c r="AL54" s="10" t="str">
        <f t="shared" si="14"/>
        <v xml:space="preserve"> </v>
      </c>
      <c r="AM54" s="10" t="str">
        <f t="shared" si="14"/>
        <v xml:space="preserve"> </v>
      </c>
      <c r="AN54" s="10" t="str">
        <f t="shared" si="14"/>
        <v xml:space="preserve"> </v>
      </c>
      <c r="AO54" s="10" t="str">
        <f t="shared" si="14"/>
        <v xml:space="preserve"> </v>
      </c>
      <c r="AP54" s="10" t="str">
        <f t="shared" si="14"/>
        <v xml:space="preserve"> </v>
      </c>
      <c r="AQ54" s="10" t="str">
        <f t="shared" si="14"/>
        <v xml:space="preserve"> </v>
      </c>
      <c r="AR54" s="10" t="str">
        <f t="shared" si="14"/>
        <v xml:space="preserve"> </v>
      </c>
      <c r="AS54" s="10" t="str">
        <f t="shared" si="14"/>
        <v xml:space="preserve"> </v>
      </c>
      <c r="AT54" s="10" t="str">
        <f t="shared" si="14"/>
        <v xml:space="preserve"> </v>
      </c>
      <c r="AU54" s="10" t="str">
        <f t="shared" si="14"/>
        <v xml:space="preserve"> </v>
      </c>
      <c r="AV54" s="10" t="str">
        <f t="shared" si="14"/>
        <v xml:space="preserve"> </v>
      </c>
      <c r="AW54" s="10" t="str">
        <f t="shared" si="14"/>
        <v xml:space="preserve"> </v>
      </c>
      <c r="AX54" s="10" t="str">
        <f t="shared" si="14"/>
        <v xml:space="preserve"> </v>
      </c>
      <c r="AY54" s="10" t="str">
        <f t="shared" si="14"/>
        <v xml:space="preserve"> </v>
      </c>
    </row>
    <row r="55" spans="1:51" ht="30.75">
      <c r="A55" s="2" t="s">
        <v>93</v>
      </c>
      <c r="B55" s="16" t="s">
        <v>4</v>
      </c>
      <c r="C55" s="16" t="s">
        <v>5</v>
      </c>
      <c r="D55" s="16" t="s">
        <v>6</v>
      </c>
      <c r="E55" s="16" t="s">
        <v>7</v>
      </c>
      <c r="F55" s="16" t="s">
        <v>8</v>
      </c>
      <c r="G55" s="16" t="s">
        <v>9</v>
      </c>
      <c r="H55" s="16" t="s">
        <v>10</v>
      </c>
      <c r="I55" s="16" t="s">
        <v>11</v>
      </c>
      <c r="J55" s="16" t="s">
        <v>12</v>
      </c>
      <c r="K55" s="16" t="s">
        <v>13</v>
      </c>
      <c r="L55" s="16" t="s">
        <v>14</v>
      </c>
      <c r="M55" s="16" t="s">
        <v>15</v>
      </c>
      <c r="N55" s="16" t="s">
        <v>16</v>
      </c>
      <c r="O55" s="16" t="s">
        <v>17</v>
      </c>
      <c r="P55" s="16" t="s">
        <v>18</v>
      </c>
      <c r="Q55" s="16" t="s">
        <v>19</v>
      </c>
      <c r="R55" s="16" t="s">
        <v>20</v>
      </c>
      <c r="S55" s="16" t="s">
        <v>21</v>
      </c>
      <c r="T55" s="16" t="s">
        <v>22</v>
      </c>
      <c r="U55" s="16" t="s">
        <v>23</v>
      </c>
      <c r="V55" s="16" t="s">
        <v>24</v>
      </c>
      <c r="W55" s="16" t="s">
        <v>25</v>
      </c>
      <c r="X55" s="16" t="s">
        <v>26</v>
      </c>
      <c r="Y55" s="16" t="s">
        <v>27</v>
      </c>
      <c r="Z55" s="16" t="s">
        <v>28</v>
      </c>
      <c r="AA55" s="16" t="s">
        <v>29</v>
      </c>
      <c r="AB55" s="16" t="s">
        <v>30</v>
      </c>
      <c r="AC55" s="16" t="s">
        <v>31</v>
      </c>
      <c r="AD55" s="16" t="s">
        <v>32</v>
      </c>
      <c r="AE55" s="16" t="s">
        <v>33</v>
      </c>
      <c r="AF55" s="16" t="s">
        <v>34</v>
      </c>
      <c r="AG55" s="16" t="s">
        <v>35</v>
      </c>
      <c r="AH55" s="16" t="s">
        <v>36</v>
      </c>
      <c r="AI55" s="16" t="s">
        <v>37</v>
      </c>
      <c r="AJ55" s="16" t="s">
        <v>38</v>
      </c>
      <c r="AK55" s="16" t="s">
        <v>39</v>
      </c>
      <c r="AL55" s="16" t="s">
        <v>40</v>
      </c>
      <c r="AM55" s="16" t="s">
        <v>41</v>
      </c>
      <c r="AN55" s="16" t="s">
        <v>42</v>
      </c>
      <c r="AO55" s="16" t="s">
        <v>43</v>
      </c>
      <c r="AP55" s="16" t="s">
        <v>44</v>
      </c>
      <c r="AQ55" s="16" t="s">
        <v>45</v>
      </c>
      <c r="AR55" s="16" t="s">
        <v>46</v>
      </c>
      <c r="AS55" s="16" t="s">
        <v>47</v>
      </c>
      <c r="AT55" s="16" t="s">
        <v>48</v>
      </c>
      <c r="AU55" s="16" t="s">
        <v>49</v>
      </c>
      <c r="AV55" s="16" t="s">
        <v>50</v>
      </c>
      <c r="AW55" s="16" t="s">
        <v>51</v>
      </c>
      <c r="AX55" s="16" t="s">
        <v>52</v>
      </c>
      <c r="AY55" s="16" t="s">
        <v>53</v>
      </c>
    </row>
    <row r="56" spans="1:51" ht="29.1">
      <c r="A56" s="4" t="s">
        <v>94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spans="1:51" ht="45.75">
      <c r="A57" s="4" t="s">
        <v>95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</row>
    <row r="58" spans="1:51" ht="30.75">
      <c r="A58" s="23" t="s">
        <v>96</v>
      </c>
      <c r="B58" s="10" t="str">
        <f>IF(OR(B57="Improperly Recorded"),"510409"," ")</f>
        <v xml:space="preserve"> </v>
      </c>
      <c r="C58" s="10" t="str">
        <f t="shared" ref="C58:AY58" si="15">IF(OR(C57="Improperly Recorded"),"510409"," ")</f>
        <v xml:space="preserve"> </v>
      </c>
      <c r="D58" s="10" t="str">
        <f t="shared" si="15"/>
        <v xml:space="preserve"> </v>
      </c>
      <c r="E58" s="10" t="str">
        <f t="shared" si="15"/>
        <v xml:space="preserve"> </v>
      </c>
      <c r="F58" s="10" t="str">
        <f t="shared" si="15"/>
        <v xml:space="preserve"> </v>
      </c>
      <c r="G58" s="10" t="str">
        <f t="shared" si="15"/>
        <v xml:space="preserve"> </v>
      </c>
      <c r="H58" s="10" t="str">
        <f t="shared" si="15"/>
        <v xml:space="preserve"> </v>
      </c>
      <c r="I58" s="10" t="str">
        <f t="shared" si="15"/>
        <v xml:space="preserve"> </v>
      </c>
      <c r="J58" s="10" t="str">
        <f t="shared" si="15"/>
        <v xml:space="preserve"> </v>
      </c>
      <c r="K58" s="10" t="str">
        <f t="shared" si="15"/>
        <v xml:space="preserve"> </v>
      </c>
      <c r="L58" s="10" t="str">
        <f t="shared" si="15"/>
        <v xml:space="preserve"> </v>
      </c>
      <c r="M58" s="10" t="str">
        <f t="shared" si="15"/>
        <v xml:space="preserve"> </v>
      </c>
      <c r="N58" s="10" t="str">
        <f t="shared" si="15"/>
        <v xml:space="preserve"> </v>
      </c>
      <c r="O58" s="10" t="str">
        <f t="shared" si="15"/>
        <v xml:space="preserve"> </v>
      </c>
      <c r="P58" s="10" t="str">
        <f t="shared" si="15"/>
        <v xml:space="preserve"> </v>
      </c>
      <c r="Q58" s="10" t="str">
        <f t="shared" si="15"/>
        <v xml:space="preserve"> </v>
      </c>
      <c r="R58" s="10" t="str">
        <f t="shared" si="15"/>
        <v xml:space="preserve"> </v>
      </c>
      <c r="S58" s="10" t="str">
        <f t="shared" si="15"/>
        <v xml:space="preserve"> </v>
      </c>
      <c r="T58" s="10" t="str">
        <f t="shared" si="15"/>
        <v xml:space="preserve"> </v>
      </c>
      <c r="U58" s="10" t="str">
        <f t="shared" si="15"/>
        <v xml:space="preserve"> </v>
      </c>
      <c r="V58" s="10" t="str">
        <f t="shared" si="15"/>
        <v xml:space="preserve"> </v>
      </c>
      <c r="W58" s="10" t="str">
        <f t="shared" si="15"/>
        <v xml:space="preserve"> </v>
      </c>
      <c r="X58" s="10" t="str">
        <f t="shared" si="15"/>
        <v xml:space="preserve"> </v>
      </c>
      <c r="Y58" s="10" t="str">
        <f t="shared" si="15"/>
        <v xml:space="preserve"> </v>
      </c>
      <c r="Z58" s="10" t="str">
        <f t="shared" si="15"/>
        <v xml:space="preserve"> </v>
      </c>
      <c r="AA58" s="10" t="str">
        <f t="shared" si="15"/>
        <v xml:space="preserve"> </v>
      </c>
      <c r="AB58" s="10" t="str">
        <f t="shared" si="15"/>
        <v xml:space="preserve"> </v>
      </c>
      <c r="AC58" s="10" t="str">
        <f t="shared" si="15"/>
        <v xml:space="preserve"> </v>
      </c>
      <c r="AD58" s="10" t="str">
        <f t="shared" si="15"/>
        <v xml:space="preserve"> </v>
      </c>
      <c r="AE58" s="10" t="str">
        <f t="shared" si="15"/>
        <v xml:space="preserve"> </v>
      </c>
      <c r="AF58" s="10" t="str">
        <f t="shared" si="15"/>
        <v xml:space="preserve"> </v>
      </c>
      <c r="AG58" s="10" t="str">
        <f t="shared" si="15"/>
        <v xml:space="preserve"> </v>
      </c>
      <c r="AH58" s="10" t="str">
        <f t="shared" si="15"/>
        <v xml:space="preserve"> </v>
      </c>
      <c r="AI58" s="10" t="str">
        <f t="shared" si="15"/>
        <v xml:space="preserve"> </v>
      </c>
      <c r="AJ58" s="10" t="str">
        <f t="shared" si="15"/>
        <v xml:space="preserve"> </v>
      </c>
      <c r="AK58" s="10" t="str">
        <f t="shared" si="15"/>
        <v xml:space="preserve"> </v>
      </c>
      <c r="AL58" s="10" t="str">
        <f t="shared" si="15"/>
        <v xml:space="preserve"> </v>
      </c>
      <c r="AM58" s="10" t="str">
        <f t="shared" si="15"/>
        <v xml:space="preserve"> </v>
      </c>
      <c r="AN58" s="10" t="str">
        <f t="shared" si="15"/>
        <v xml:space="preserve"> </v>
      </c>
      <c r="AO58" s="10" t="str">
        <f t="shared" si="15"/>
        <v xml:space="preserve"> </v>
      </c>
      <c r="AP58" s="10" t="str">
        <f t="shared" si="15"/>
        <v xml:space="preserve"> </v>
      </c>
      <c r="AQ58" s="10" t="str">
        <f t="shared" si="15"/>
        <v xml:space="preserve"> </v>
      </c>
      <c r="AR58" s="10" t="str">
        <f t="shared" si="15"/>
        <v xml:space="preserve"> </v>
      </c>
      <c r="AS58" s="10" t="str">
        <f t="shared" si="15"/>
        <v xml:space="preserve"> </v>
      </c>
      <c r="AT58" s="10" t="str">
        <f t="shared" si="15"/>
        <v xml:space="preserve"> </v>
      </c>
      <c r="AU58" s="10" t="str">
        <f t="shared" si="15"/>
        <v xml:space="preserve"> </v>
      </c>
      <c r="AV58" s="10" t="str">
        <f t="shared" si="15"/>
        <v xml:space="preserve"> </v>
      </c>
      <c r="AW58" s="10" t="str">
        <f t="shared" si="15"/>
        <v xml:space="preserve"> </v>
      </c>
      <c r="AX58" s="10" t="str">
        <f t="shared" si="15"/>
        <v xml:space="preserve"> </v>
      </c>
      <c r="AY58" s="10" t="str">
        <f t="shared" si="15"/>
        <v xml:space="preserve"> </v>
      </c>
    </row>
    <row r="59" spans="1:51" ht="30.75">
      <c r="A59" s="4" t="s">
        <v>97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1:51" ht="60.75">
      <c r="A60" s="23" t="s">
        <v>98</v>
      </c>
      <c r="B60" s="10" t="str">
        <f>IF(OR(B59="No"),"600025"," ")</f>
        <v xml:space="preserve"> </v>
      </c>
      <c r="C60" s="10" t="str">
        <f t="shared" ref="C60:AY60" si="16">IF(OR(C59="No"),"600025"," ")</f>
        <v xml:space="preserve"> </v>
      </c>
      <c r="D60" s="10" t="str">
        <f t="shared" si="16"/>
        <v xml:space="preserve"> </v>
      </c>
      <c r="E60" s="10" t="str">
        <f t="shared" si="16"/>
        <v xml:space="preserve"> </v>
      </c>
      <c r="F60" s="10" t="str">
        <f t="shared" si="16"/>
        <v xml:space="preserve"> </v>
      </c>
      <c r="G60" s="10" t="str">
        <f t="shared" si="16"/>
        <v xml:space="preserve"> </v>
      </c>
      <c r="H60" s="10" t="str">
        <f t="shared" si="16"/>
        <v xml:space="preserve"> </v>
      </c>
      <c r="I60" s="10" t="str">
        <f t="shared" si="16"/>
        <v xml:space="preserve"> </v>
      </c>
      <c r="J60" s="10" t="str">
        <f t="shared" si="16"/>
        <v xml:space="preserve"> </v>
      </c>
      <c r="K60" s="10" t="str">
        <f t="shared" si="16"/>
        <v xml:space="preserve"> </v>
      </c>
      <c r="L60" s="10" t="str">
        <f t="shared" si="16"/>
        <v xml:space="preserve"> </v>
      </c>
      <c r="M60" s="10" t="str">
        <f t="shared" si="16"/>
        <v xml:space="preserve"> </v>
      </c>
      <c r="N60" s="10" t="str">
        <f t="shared" si="16"/>
        <v xml:space="preserve"> </v>
      </c>
      <c r="O60" s="10" t="str">
        <f t="shared" si="16"/>
        <v xml:space="preserve"> </v>
      </c>
      <c r="P60" s="10" t="str">
        <f t="shared" si="16"/>
        <v xml:space="preserve"> </v>
      </c>
      <c r="Q60" s="10" t="str">
        <f t="shared" si="16"/>
        <v xml:space="preserve"> </v>
      </c>
      <c r="R60" s="10" t="str">
        <f t="shared" si="16"/>
        <v xml:space="preserve"> </v>
      </c>
      <c r="S60" s="10" t="str">
        <f t="shared" si="16"/>
        <v xml:space="preserve"> </v>
      </c>
      <c r="T60" s="10" t="str">
        <f t="shared" si="16"/>
        <v xml:space="preserve"> </v>
      </c>
      <c r="U60" s="10" t="str">
        <f t="shared" si="16"/>
        <v xml:space="preserve"> </v>
      </c>
      <c r="V60" s="10" t="str">
        <f t="shared" si="16"/>
        <v xml:space="preserve"> </v>
      </c>
      <c r="W60" s="10" t="str">
        <f t="shared" si="16"/>
        <v xml:space="preserve"> </v>
      </c>
      <c r="X60" s="10" t="str">
        <f t="shared" si="16"/>
        <v xml:space="preserve"> </v>
      </c>
      <c r="Y60" s="10" t="str">
        <f t="shared" si="16"/>
        <v xml:space="preserve"> </v>
      </c>
      <c r="Z60" s="10" t="str">
        <f t="shared" si="16"/>
        <v xml:space="preserve"> </v>
      </c>
      <c r="AA60" s="10" t="str">
        <f t="shared" si="16"/>
        <v xml:space="preserve"> </v>
      </c>
      <c r="AB60" s="10" t="str">
        <f t="shared" si="16"/>
        <v xml:space="preserve"> </v>
      </c>
      <c r="AC60" s="10" t="str">
        <f t="shared" si="16"/>
        <v xml:space="preserve"> </v>
      </c>
      <c r="AD60" s="10" t="str">
        <f t="shared" si="16"/>
        <v xml:space="preserve"> </v>
      </c>
      <c r="AE60" s="10" t="str">
        <f t="shared" si="16"/>
        <v xml:space="preserve"> </v>
      </c>
      <c r="AF60" s="10" t="str">
        <f t="shared" si="16"/>
        <v xml:space="preserve"> </v>
      </c>
      <c r="AG60" s="10" t="str">
        <f t="shared" si="16"/>
        <v xml:space="preserve"> </v>
      </c>
      <c r="AH60" s="10" t="str">
        <f t="shared" si="16"/>
        <v xml:space="preserve"> </v>
      </c>
      <c r="AI60" s="10" t="str">
        <f t="shared" si="16"/>
        <v xml:space="preserve"> </v>
      </c>
      <c r="AJ60" s="10" t="str">
        <f t="shared" si="16"/>
        <v xml:space="preserve"> </v>
      </c>
      <c r="AK60" s="10" t="str">
        <f t="shared" si="16"/>
        <v xml:space="preserve"> </v>
      </c>
      <c r="AL60" s="10" t="str">
        <f t="shared" si="16"/>
        <v xml:space="preserve"> </v>
      </c>
      <c r="AM60" s="10" t="str">
        <f t="shared" si="16"/>
        <v xml:space="preserve"> </v>
      </c>
      <c r="AN60" s="10" t="str">
        <f t="shared" si="16"/>
        <v xml:space="preserve"> </v>
      </c>
      <c r="AO60" s="10" t="str">
        <f t="shared" si="16"/>
        <v xml:space="preserve"> </v>
      </c>
      <c r="AP60" s="10" t="str">
        <f t="shared" si="16"/>
        <v xml:space="preserve"> </v>
      </c>
      <c r="AQ60" s="10" t="str">
        <f t="shared" si="16"/>
        <v xml:space="preserve"> </v>
      </c>
      <c r="AR60" s="10" t="str">
        <f t="shared" si="16"/>
        <v xml:space="preserve"> </v>
      </c>
      <c r="AS60" s="10" t="str">
        <f t="shared" si="16"/>
        <v xml:space="preserve"> </v>
      </c>
      <c r="AT60" s="10" t="str">
        <f t="shared" si="16"/>
        <v xml:space="preserve"> </v>
      </c>
      <c r="AU60" s="10" t="str">
        <f t="shared" si="16"/>
        <v xml:space="preserve"> </v>
      </c>
      <c r="AV60" s="10" t="str">
        <f t="shared" si="16"/>
        <v xml:space="preserve"> </v>
      </c>
      <c r="AW60" s="10" t="str">
        <f t="shared" si="16"/>
        <v xml:space="preserve"> </v>
      </c>
      <c r="AX60" s="10" t="str">
        <f t="shared" si="16"/>
        <v xml:space="preserve"> </v>
      </c>
      <c r="AY60" s="10" t="str">
        <f t="shared" si="16"/>
        <v xml:space="preserve"> </v>
      </c>
    </row>
    <row r="61" spans="1:51" ht="30.75">
      <c r="A61" s="4" t="s">
        <v>99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</row>
    <row r="62" spans="1:51" ht="57.95" customHeight="1">
      <c r="A62" s="24" t="s">
        <v>100</v>
      </c>
      <c r="B62" s="10" t="str">
        <f>IF(OR(B61="No"),"600026"," ")</f>
        <v xml:space="preserve"> </v>
      </c>
      <c r="C62" s="10" t="str">
        <f t="shared" ref="C62:AY62" si="17">IF(OR(C61="No"),"600026"," ")</f>
        <v xml:space="preserve"> </v>
      </c>
      <c r="D62" s="10" t="str">
        <f t="shared" si="17"/>
        <v xml:space="preserve"> </v>
      </c>
      <c r="E62" s="10" t="str">
        <f t="shared" si="17"/>
        <v xml:space="preserve"> </v>
      </c>
      <c r="F62" s="10" t="str">
        <f t="shared" si="17"/>
        <v xml:space="preserve"> </v>
      </c>
      <c r="G62" s="10" t="str">
        <f t="shared" si="17"/>
        <v xml:space="preserve"> </v>
      </c>
      <c r="H62" s="10" t="str">
        <f t="shared" si="17"/>
        <v xml:space="preserve"> </v>
      </c>
      <c r="I62" s="10" t="str">
        <f t="shared" si="17"/>
        <v xml:space="preserve"> </v>
      </c>
      <c r="J62" s="10" t="str">
        <f t="shared" si="17"/>
        <v xml:space="preserve"> </v>
      </c>
      <c r="K62" s="10" t="str">
        <f t="shared" si="17"/>
        <v xml:space="preserve"> </v>
      </c>
      <c r="L62" s="10" t="str">
        <f t="shared" si="17"/>
        <v xml:space="preserve"> </v>
      </c>
      <c r="M62" s="10" t="str">
        <f t="shared" si="17"/>
        <v xml:space="preserve"> </v>
      </c>
      <c r="N62" s="10" t="str">
        <f t="shared" si="17"/>
        <v xml:space="preserve"> </v>
      </c>
      <c r="O62" s="10" t="str">
        <f t="shared" si="17"/>
        <v xml:space="preserve"> </v>
      </c>
      <c r="P62" s="10" t="str">
        <f t="shared" si="17"/>
        <v xml:space="preserve"> </v>
      </c>
      <c r="Q62" s="10" t="str">
        <f t="shared" si="17"/>
        <v xml:space="preserve"> </v>
      </c>
      <c r="R62" s="10" t="str">
        <f t="shared" si="17"/>
        <v xml:space="preserve"> </v>
      </c>
      <c r="S62" s="10" t="str">
        <f t="shared" si="17"/>
        <v xml:space="preserve"> </v>
      </c>
      <c r="T62" s="10" t="str">
        <f t="shared" si="17"/>
        <v xml:space="preserve"> </v>
      </c>
      <c r="U62" s="10" t="str">
        <f t="shared" si="17"/>
        <v xml:space="preserve"> </v>
      </c>
      <c r="V62" s="10" t="str">
        <f t="shared" si="17"/>
        <v xml:space="preserve"> </v>
      </c>
      <c r="W62" s="10" t="str">
        <f t="shared" si="17"/>
        <v xml:space="preserve"> </v>
      </c>
      <c r="X62" s="10" t="str">
        <f t="shared" si="17"/>
        <v xml:space="preserve"> </v>
      </c>
      <c r="Y62" s="10" t="str">
        <f t="shared" si="17"/>
        <v xml:space="preserve"> </v>
      </c>
      <c r="Z62" s="10" t="str">
        <f t="shared" si="17"/>
        <v xml:space="preserve"> </v>
      </c>
      <c r="AA62" s="10" t="str">
        <f t="shared" si="17"/>
        <v xml:space="preserve"> </v>
      </c>
      <c r="AB62" s="10" t="str">
        <f t="shared" si="17"/>
        <v xml:space="preserve"> </v>
      </c>
      <c r="AC62" s="10" t="str">
        <f t="shared" si="17"/>
        <v xml:space="preserve"> </v>
      </c>
      <c r="AD62" s="10" t="str">
        <f t="shared" si="17"/>
        <v xml:space="preserve"> </v>
      </c>
      <c r="AE62" s="10" t="str">
        <f t="shared" si="17"/>
        <v xml:space="preserve"> </v>
      </c>
      <c r="AF62" s="10" t="str">
        <f t="shared" si="17"/>
        <v xml:space="preserve"> </v>
      </c>
      <c r="AG62" s="10" t="str">
        <f t="shared" si="17"/>
        <v xml:space="preserve"> </v>
      </c>
      <c r="AH62" s="10" t="str">
        <f t="shared" si="17"/>
        <v xml:space="preserve"> </v>
      </c>
      <c r="AI62" s="10" t="str">
        <f t="shared" si="17"/>
        <v xml:space="preserve"> </v>
      </c>
      <c r="AJ62" s="10" t="str">
        <f t="shared" si="17"/>
        <v xml:space="preserve"> </v>
      </c>
      <c r="AK62" s="10" t="str">
        <f t="shared" si="17"/>
        <v xml:space="preserve"> </v>
      </c>
      <c r="AL62" s="10" t="str">
        <f t="shared" si="17"/>
        <v xml:space="preserve"> </v>
      </c>
      <c r="AM62" s="10" t="str">
        <f t="shared" si="17"/>
        <v xml:space="preserve"> </v>
      </c>
      <c r="AN62" s="10" t="str">
        <f t="shared" si="17"/>
        <v xml:space="preserve"> </v>
      </c>
      <c r="AO62" s="10" t="str">
        <f t="shared" si="17"/>
        <v xml:space="preserve"> </v>
      </c>
      <c r="AP62" s="10" t="str">
        <f t="shared" si="17"/>
        <v xml:space="preserve"> </v>
      </c>
      <c r="AQ62" s="10" t="str">
        <f t="shared" si="17"/>
        <v xml:space="preserve"> </v>
      </c>
      <c r="AR62" s="10" t="str">
        <f t="shared" si="17"/>
        <v xml:space="preserve"> </v>
      </c>
      <c r="AS62" s="10" t="str">
        <f t="shared" si="17"/>
        <v xml:space="preserve"> </v>
      </c>
      <c r="AT62" s="10" t="str">
        <f t="shared" si="17"/>
        <v xml:space="preserve"> </v>
      </c>
      <c r="AU62" s="10" t="str">
        <f t="shared" si="17"/>
        <v xml:space="preserve"> </v>
      </c>
      <c r="AV62" s="10" t="str">
        <f t="shared" si="17"/>
        <v xml:space="preserve"> </v>
      </c>
      <c r="AW62" s="10" t="str">
        <f t="shared" si="17"/>
        <v xml:space="preserve"> </v>
      </c>
      <c r="AX62" s="10" t="str">
        <f t="shared" si="17"/>
        <v xml:space="preserve"> </v>
      </c>
      <c r="AY62" s="10" t="str">
        <f t="shared" si="17"/>
        <v xml:space="preserve"> </v>
      </c>
    </row>
    <row r="63" spans="1:51">
      <c r="A63" s="2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7" spans="5:5">
      <c r="E67" t="s">
        <v>101</v>
      </c>
    </row>
  </sheetData>
  <mergeCells count="12">
    <mergeCell ref="A38:A39"/>
    <mergeCell ref="A48:A49"/>
    <mergeCell ref="A62:A63"/>
    <mergeCell ref="C3:I3"/>
    <mergeCell ref="A11:A12"/>
    <mergeCell ref="A32:A33"/>
    <mergeCell ref="A23:A24"/>
    <mergeCell ref="A26:A27"/>
    <mergeCell ref="A20:A21"/>
    <mergeCell ref="A17:A18"/>
    <mergeCell ref="A14:A15"/>
    <mergeCell ref="A29:A30"/>
  </mergeCells>
  <conditionalFormatting sqref="B7:AY7">
    <cfRule type="notContainsBlanks" dxfId="16" priority="17">
      <formula>LEN(TRIM(B7))&gt;0</formula>
    </cfRule>
  </conditionalFormatting>
  <conditionalFormatting sqref="B9:AY9 B11:AY11">
    <cfRule type="notContainsBlanks" dxfId="15" priority="16">
      <formula>LEN(TRIM(B9))&gt;0</formula>
    </cfRule>
  </conditionalFormatting>
  <conditionalFormatting sqref="B17:AY17">
    <cfRule type="notContainsBlanks" dxfId="14" priority="15">
      <formula>LEN(TRIM(B17))&gt;0</formula>
    </cfRule>
  </conditionalFormatting>
  <conditionalFormatting sqref="B14:AY14">
    <cfRule type="notContainsBlanks" dxfId="13" priority="14">
      <formula>LEN(TRIM(B14))&gt;0</formula>
    </cfRule>
  </conditionalFormatting>
  <conditionalFormatting sqref="B20:AY20">
    <cfRule type="notContainsBlanks" dxfId="12" priority="13">
      <formula>LEN(TRIM(B20))&gt;0</formula>
    </cfRule>
  </conditionalFormatting>
  <conditionalFormatting sqref="B23:AY23">
    <cfRule type="notContainsBlanks" dxfId="11" priority="12">
      <formula>LEN(TRIM(B23))&gt;0</formula>
    </cfRule>
  </conditionalFormatting>
  <conditionalFormatting sqref="B26:AY26">
    <cfRule type="notContainsBlanks" dxfId="10" priority="11">
      <formula>LEN(TRIM(B26))&gt;0</formula>
    </cfRule>
  </conditionalFormatting>
  <conditionalFormatting sqref="B29:AY30">
    <cfRule type="notContainsBlanks" dxfId="9" priority="10">
      <formula>LEN(TRIM(B29))&gt;0</formula>
    </cfRule>
  </conditionalFormatting>
  <conditionalFormatting sqref="B32:AY32">
    <cfRule type="notContainsBlanks" dxfId="8" priority="9">
      <formula>LEN(TRIM(B32))&gt;0</formula>
    </cfRule>
  </conditionalFormatting>
  <conditionalFormatting sqref="B38:AY38">
    <cfRule type="notContainsBlanks" dxfId="7" priority="8">
      <formula>LEN(TRIM(B38))&gt;0</formula>
    </cfRule>
  </conditionalFormatting>
  <conditionalFormatting sqref="B41:AY41">
    <cfRule type="notContainsBlanks" dxfId="6" priority="7">
      <formula>LEN(TRIM(B41))&gt;0</formula>
    </cfRule>
  </conditionalFormatting>
  <conditionalFormatting sqref="B43:AY43">
    <cfRule type="notContainsBlanks" dxfId="5" priority="6">
      <formula>LEN(TRIM(B43))&gt;0</formula>
    </cfRule>
  </conditionalFormatting>
  <conditionalFormatting sqref="B48:AY48">
    <cfRule type="notContainsBlanks" dxfId="4" priority="5">
      <formula>LEN(TRIM(B48))&gt;0</formula>
    </cfRule>
  </conditionalFormatting>
  <conditionalFormatting sqref="B54:AY54">
    <cfRule type="notContainsBlanks" dxfId="3" priority="4">
      <formula>LEN(TRIM(B54))&gt;0</formula>
    </cfRule>
  </conditionalFormatting>
  <conditionalFormatting sqref="B58:AY58">
    <cfRule type="notContainsBlanks" dxfId="2" priority="3">
      <formula>LEN(TRIM(B58))&gt;0</formula>
    </cfRule>
  </conditionalFormatting>
  <conditionalFormatting sqref="B60:AY60">
    <cfRule type="notContainsBlanks" dxfId="1" priority="2">
      <formula>LEN(TRIM(B60))&gt;0</formula>
    </cfRule>
  </conditionalFormatting>
  <conditionalFormatting sqref="B62:AY62">
    <cfRule type="notContainsBlanks" dxfId="0" priority="1">
      <formula>LEN(TRIM(B62))&gt;0</formula>
    </cfRule>
  </conditionalFormatting>
  <dataValidations count="5">
    <dataValidation type="list" allowBlank="1" showInputMessage="1" showErrorMessage="1" sqref="B63:AY63" xr:uid="{00000000-0002-0000-0000-0000EE020000}">
      <formula1>"No Finding,Finding 510409,Finding 600025,Finding 600026"</formula1>
    </dataValidation>
    <dataValidation type="list" allowBlank="1" showInputMessage="1" showErrorMessage="1" sqref="B6:AY6 B8:AY8 B10:AY10 B13:AY13 B19:AY19 B31:AY31 B42:AY42" xr:uid="{84EFC065-F8B8-4CC9-B025-5DFB1D710948}">
      <formula1>"Agrees,Disagrees"</formula1>
    </dataValidation>
    <dataValidation type="list" errorStyle="warning" allowBlank="1" showInputMessage="1" showErrorMessage="1" sqref="B16:AY16 B22:AY22 B25:AY25 B28:AY28 B37:AY37 B40:AY40 B47:AY47 B53:AY53 B59:AY59 B61:AY61" xr:uid="{84E66034-8607-4C75-95BB-BC2E7AC421F2}">
      <formula1>"Yes,No"</formula1>
    </dataValidation>
    <dataValidation type="list" allowBlank="1" showInputMessage="1" showErrorMessage="1" sqref="B51:AY51" xr:uid="{5716C7F4-6490-4BB5-896B-1EF56D4F3C3D}">
      <formula1>"Yes,No"</formula1>
    </dataValidation>
    <dataValidation type="list" allowBlank="1" showInputMessage="1" showErrorMessage="1" sqref="B57:AY57" xr:uid="{30F28F22-3228-4447-A0D6-8C94B4D2DFE5}">
      <formula1>"Properly Recorded,Improperly Recorded,NA"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C67DA1CE47048AB76CC794A1A9850" ma:contentTypeVersion="17" ma:contentTypeDescription="Create a new document." ma:contentTypeScope="" ma:versionID="746fa43db0da1d7d2516a4937f5e9837">
  <xsd:schema xmlns:xsd="http://www.w3.org/2001/XMLSchema" xmlns:xs="http://www.w3.org/2001/XMLSchema" xmlns:p="http://schemas.microsoft.com/office/2006/metadata/properties" xmlns:ns2="3b7166cd-67a0-475e-b0ea-b3a1bb5d6327" xmlns:ns3="c03d81f6-5300-4334-853e-c43ef77f76b3" targetNamespace="http://schemas.microsoft.com/office/2006/metadata/properties" ma:root="true" ma:fieldsID="10197527ab957ddc914d4ba24117cfcb" ns2:_="" ns3:_="">
    <xsd:import namespace="3b7166cd-67a0-475e-b0ea-b3a1bb5d6327"/>
    <xsd:import namespace="c03d81f6-5300-4334-853e-c43ef77f7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QCComment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166cd-67a0-475e-b0ea-b3a1bb5d6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QCComments" ma:index="20" nillable="true" ma:displayName="QC Comments" ma:format="Dropdown" ma:internalName="QCComments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d81f6-5300-4334-853e-c43ef77f76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d22a36-344e-44c0-ab06-44edc520087e}" ma:internalName="TaxCatchAll" ma:showField="CatchAllData" ma:web="c03d81f6-5300-4334-853e-c43ef77f76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3d81f6-5300-4334-853e-c43ef77f76b3" xsi:nil="true"/>
    <lcf76f155ced4ddcb4097134ff3c332f xmlns="3b7166cd-67a0-475e-b0ea-b3a1bb5d6327">
      <Terms xmlns="http://schemas.microsoft.com/office/infopath/2007/PartnerControls"/>
    </lcf76f155ced4ddcb4097134ff3c332f>
    <QCComments xmlns="3b7166cd-67a0-475e-b0ea-b3a1bb5d63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23AE2A-76BE-4D6D-8A2F-01471DB9FFB0}"/>
</file>

<file path=customXml/itemProps2.xml><?xml version="1.0" encoding="utf-8"?>
<ds:datastoreItem xmlns:ds="http://schemas.openxmlformats.org/officeDocument/2006/customXml" ds:itemID="{0EC5814B-3EA5-4F8F-B25C-21FA1C6004CD}"/>
</file>

<file path=customXml/itemProps3.xml><?xml version="1.0" encoding="utf-8"?>
<ds:datastoreItem xmlns:ds="http://schemas.openxmlformats.org/officeDocument/2006/customXml" ds:itemID="{AB4326E7-EEEC-430B-BF9C-6C5976EA23A7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Apolito, Brandon</cp:lastModifiedBy>
  <cp:revision/>
  <dcterms:created xsi:type="dcterms:W3CDTF">2023-06-05T18:15:45Z</dcterms:created>
  <dcterms:modified xsi:type="dcterms:W3CDTF">2025-11-17T13:43:00Z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0x0101000FAC67DA1CE47048AB76CC794A1A9850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2025-02-11T20:53:57Z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2e1717aa-161a-41f1-bfee-16e83ad32635</vt:lpwstr>
  </property>
  <property fmtid="{D5CDD505-2E9C-101B-9397-08002B2CF9AE}" pid="9" name="MSIP_Label_ea60d57e-af5b-4752-ac57-3e4f28ca11dc_ContentBits">
    <vt:lpwstr>0</vt:lpwstr>
  </property>
  <property fmtid="{D5CDD505-2E9C-101B-9397-08002B2CF9AE}" pid="10" name="MSIP_Label_ea60d57e-af5b-4752-ac57-3e4f28ca11dc_Tag">
    <vt:lpwstr>10, 3, 0, 2</vt:lpwstr>
  </property>
  <property fmtid="{D5CDD505-2E9C-101B-9397-08002B2CF9AE}" pid="11" name="MediaServiceImageTags">
    <vt:lpwstr/>
  </property>
</Properties>
</file>